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3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4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5.xml" ContentType="application/vnd.openxmlformats-officedocument.drawing+xml"/>
  <Override PartName="/xl/charts/chart58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9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60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61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2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3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4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5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6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7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8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9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70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71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2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3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4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5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6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9331\Documents\2 Sem 1 Anno\MGSC\GIORDI\SHFT_BTNK_CONS\Jm..Cmax-SB_Davide_Brauzi\Materiale_AMPL\"/>
    </mc:Choice>
  </mc:AlternateContent>
  <xr:revisionPtr revIDLastSave="0" documentId="13_ncr:1_{87526A16-B462-4C0B-8709-942BF66A47E7}" xr6:coauthVersionLast="47" xr6:coauthVersionMax="47" xr10:uidLastSave="{00000000-0000-0000-0000-000000000000}"/>
  <bookViews>
    <workbookView xWindow="-108" yWindow="-108" windowWidth="23256" windowHeight="12456" activeTab="3" xr2:uid="{B186E2FA-DE3B-47C5-9596-1CBC45D0B0CF}"/>
  </bookViews>
  <sheets>
    <sheet name="Risultati buoni" sheetId="3" r:id="rId1"/>
    <sheet name="confronta_quadrate" sheetId="10" r:id="rId2"/>
    <sheet name="Valutazione ottimi" sheetId="6" r:id="rId3"/>
    <sheet name="30&lt;=p_ij &lt;= 90" sheetId="8" r:id="rId4"/>
    <sheet name="Non_guardare_perche_errato" sheetId="2" r:id="rId5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0" i="8" l="1"/>
  <c r="U240" i="8"/>
  <c r="T241" i="8"/>
  <c r="U241" i="8"/>
  <c r="T242" i="8"/>
  <c r="U242" i="8"/>
  <c r="T243" i="8"/>
  <c r="U243" i="8"/>
  <c r="T244" i="8"/>
  <c r="U244" i="8"/>
  <c r="T245" i="8"/>
  <c r="U245" i="8"/>
  <c r="T246" i="8"/>
  <c r="U246" i="8"/>
  <c r="U239" i="8"/>
  <c r="T239" i="8"/>
  <c r="R246" i="8"/>
  <c r="M23" i="10"/>
  <c r="N23" i="10"/>
  <c r="AJ211" i="8"/>
  <c r="AK211" i="8"/>
  <c r="AL211" i="8"/>
  <c r="AM211" i="8"/>
  <c r="AN211" i="8"/>
  <c r="AO211" i="8"/>
  <c r="AP211" i="8"/>
  <c r="AQ211" i="8"/>
  <c r="AI211" i="8"/>
  <c r="BG93" i="8"/>
  <c r="BF93" i="8"/>
  <c r="BE93" i="8"/>
  <c r="BD93" i="8"/>
  <c r="BC93" i="8"/>
  <c r="BB93" i="8"/>
  <c r="BA93" i="8"/>
  <c r="AZ93" i="8"/>
  <c r="AY93" i="8"/>
  <c r="AX93" i="8"/>
  <c r="AW93" i="8"/>
  <c r="AV93" i="8"/>
  <c r="AU93" i="8"/>
  <c r="AT93" i="8"/>
  <c r="AS93" i="8"/>
  <c r="AR93" i="8"/>
  <c r="AQ93" i="8"/>
  <c r="AP93" i="8"/>
  <c r="AO93" i="8"/>
  <c r="AN93" i="8"/>
  <c r="AM93" i="8"/>
  <c r="AL93" i="8"/>
  <c r="AK93" i="8"/>
  <c r="AJ93" i="8"/>
  <c r="AI93" i="8"/>
  <c r="O156" i="10"/>
  <c r="O155" i="10"/>
  <c r="P156" i="10"/>
  <c r="D156" i="10"/>
  <c r="D155" i="10"/>
  <c r="E156" i="10"/>
  <c r="X155" i="10"/>
  <c r="I155" i="10"/>
  <c r="A155" i="10"/>
  <c r="U152" i="10"/>
  <c r="N152" i="10"/>
  <c r="M152" i="10"/>
  <c r="U151" i="10"/>
  <c r="N151" i="10"/>
  <c r="M151" i="10"/>
  <c r="U150" i="10"/>
  <c r="N150" i="10"/>
  <c r="M150" i="10"/>
  <c r="N149" i="10"/>
  <c r="M149" i="10"/>
  <c r="U148" i="10"/>
  <c r="N148" i="10"/>
  <c r="M148" i="10"/>
  <c r="U147" i="10"/>
  <c r="N147" i="10"/>
  <c r="M147" i="10"/>
  <c r="U146" i="10"/>
  <c r="N146" i="10"/>
  <c r="M146" i="10"/>
  <c r="U145" i="10"/>
  <c r="N145" i="10"/>
  <c r="M145" i="10"/>
  <c r="U144" i="10"/>
  <c r="N144" i="10"/>
  <c r="M144" i="10"/>
  <c r="U143" i="10"/>
  <c r="N143" i="10"/>
  <c r="M143" i="10"/>
  <c r="U141" i="10"/>
  <c r="U140" i="10"/>
  <c r="U139" i="10"/>
  <c r="U138" i="10"/>
  <c r="U137" i="10"/>
  <c r="U134" i="10"/>
  <c r="U133" i="10"/>
  <c r="X124" i="10"/>
  <c r="U123" i="10"/>
  <c r="U124" i="10"/>
  <c r="U125" i="10"/>
  <c r="U126" i="10"/>
  <c r="U127" i="10"/>
  <c r="U128" i="10"/>
  <c r="U129" i="10"/>
  <c r="U130" i="10"/>
  <c r="U131" i="10"/>
  <c r="U132" i="10"/>
  <c r="AA124" i="10"/>
  <c r="W125" i="10"/>
  <c r="X125" i="10"/>
  <c r="AA125" i="10"/>
  <c r="W126" i="10"/>
  <c r="X126" i="10"/>
  <c r="AA126" i="10"/>
  <c r="W127" i="10"/>
  <c r="X127" i="10"/>
  <c r="AA127" i="10"/>
  <c r="W128" i="10"/>
  <c r="X128" i="10"/>
  <c r="AA128" i="10"/>
  <c r="W129" i="10"/>
  <c r="X129" i="10"/>
  <c r="AA129" i="10"/>
  <c r="X130" i="10"/>
  <c r="W130" i="10"/>
  <c r="AA130" i="10"/>
  <c r="AA132" i="10"/>
  <c r="Z124" i="10"/>
  <c r="Z125" i="10"/>
  <c r="Z126" i="10"/>
  <c r="Z127" i="10"/>
  <c r="Z128" i="10"/>
  <c r="Z129" i="10"/>
  <c r="Z130" i="10"/>
  <c r="Z132" i="10"/>
  <c r="Y124" i="10"/>
  <c r="Y125" i="10"/>
  <c r="Y126" i="10"/>
  <c r="Y127" i="10"/>
  <c r="Y128" i="10"/>
  <c r="Y129" i="10"/>
  <c r="Y130" i="10"/>
  <c r="Y132" i="10"/>
  <c r="AB130" i="10"/>
  <c r="AB129" i="10"/>
  <c r="AB128" i="10"/>
  <c r="AF127" i="10"/>
  <c r="AE127" i="10"/>
  <c r="AD127" i="10"/>
  <c r="AB127" i="10"/>
  <c r="AB126" i="10"/>
  <c r="N126" i="10"/>
  <c r="M126" i="10"/>
  <c r="AB125" i="10"/>
  <c r="N125" i="10"/>
  <c r="M125" i="10"/>
  <c r="AB124" i="10"/>
  <c r="N124" i="10"/>
  <c r="M124" i="10"/>
  <c r="N123" i="10"/>
  <c r="M123" i="10"/>
  <c r="X122" i="10"/>
  <c r="O95" i="10"/>
  <c r="O94" i="10"/>
  <c r="P95" i="10"/>
  <c r="D95" i="10"/>
  <c r="D94" i="10"/>
  <c r="E95" i="10"/>
  <c r="X94" i="10"/>
  <c r="I94" i="10"/>
  <c r="A94" i="10"/>
  <c r="U91" i="10"/>
  <c r="N91" i="10"/>
  <c r="M91" i="10"/>
  <c r="U90" i="10"/>
  <c r="N90" i="10"/>
  <c r="M90" i="10"/>
  <c r="U89" i="10"/>
  <c r="N89" i="10"/>
  <c r="M89" i="10"/>
  <c r="U88" i="10"/>
  <c r="N88" i="10"/>
  <c r="M88" i="10"/>
  <c r="U87" i="10"/>
  <c r="N87" i="10"/>
  <c r="M87" i="10"/>
  <c r="U86" i="10"/>
  <c r="N86" i="10"/>
  <c r="M86" i="10"/>
  <c r="U85" i="10"/>
  <c r="N85" i="10"/>
  <c r="M85" i="10"/>
  <c r="U84" i="10"/>
  <c r="N84" i="10"/>
  <c r="M84" i="10"/>
  <c r="U83" i="10"/>
  <c r="N83" i="10"/>
  <c r="M83" i="10"/>
  <c r="U82" i="10"/>
  <c r="N82" i="10"/>
  <c r="M82" i="10"/>
  <c r="U81" i="10"/>
  <c r="N81" i="10"/>
  <c r="M81" i="10"/>
  <c r="U80" i="10"/>
  <c r="N80" i="10"/>
  <c r="M80" i="10"/>
  <c r="U79" i="10"/>
  <c r="N79" i="10"/>
  <c r="M79" i="10"/>
  <c r="U78" i="10"/>
  <c r="N78" i="10"/>
  <c r="M78" i="10"/>
  <c r="U77" i="10"/>
  <c r="N77" i="10"/>
  <c r="M77" i="10"/>
  <c r="U76" i="10"/>
  <c r="N76" i="10"/>
  <c r="M76" i="10"/>
  <c r="U75" i="10"/>
  <c r="N75" i="10"/>
  <c r="M75" i="10"/>
  <c r="U74" i="10"/>
  <c r="N74" i="10"/>
  <c r="M74" i="10"/>
  <c r="U73" i="10"/>
  <c r="N73" i="10"/>
  <c r="M73" i="10"/>
  <c r="U72" i="10"/>
  <c r="N72" i="10"/>
  <c r="M72" i="10"/>
  <c r="X63" i="10"/>
  <c r="U62" i="10"/>
  <c r="U63" i="10"/>
  <c r="U64" i="10"/>
  <c r="U65" i="10"/>
  <c r="U66" i="10"/>
  <c r="U67" i="10"/>
  <c r="U68" i="10"/>
  <c r="U69" i="10"/>
  <c r="U70" i="10"/>
  <c r="U71" i="10"/>
  <c r="AA63" i="10"/>
  <c r="W64" i="10"/>
  <c r="X64" i="10"/>
  <c r="AA64" i="10"/>
  <c r="W65" i="10"/>
  <c r="X65" i="10"/>
  <c r="AA65" i="10"/>
  <c r="W66" i="10"/>
  <c r="X66" i="10"/>
  <c r="AA66" i="10"/>
  <c r="W67" i="10"/>
  <c r="X67" i="10"/>
  <c r="AA67" i="10"/>
  <c r="W68" i="10"/>
  <c r="X68" i="10"/>
  <c r="AA68" i="10"/>
  <c r="X69" i="10"/>
  <c r="W69" i="10"/>
  <c r="AA69" i="10"/>
  <c r="AA71" i="10"/>
  <c r="Z63" i="10"/>
  <c r="Z64" i="10"/>
  <c r="Z65" i="10"/>
  <c r="Z66" i="10"/>
  <c r="Z67" i="10"/>
  <c r="Z68" i="10"/>
  <c r="Z69" i="10"/>
  <c r="Z71" i="10"/>
  <c r="Y63" i="10"/>
  <c r="Y64" i="10"/>
  <c r="Y65" i="10"/>
  <c r="Y66" i="10"/>
  <c r="Y67" i="10"/>
  <c r="Y68" i="10"/>
  <c r="Y69" i="10"/>
  <c r="Y71" i="10"/>
  <c r="N71" i="10"/>
  <c r="M71" i="10"/>
  <c r="N70" i="10"/>
  <c r="M70" i="10"/>
  <c r="AB69" i="10"/>
  <c r="N69" i="10"/>
  <c r="M69" i="10"/>
  <c r="AB68" i="10"/>
  <c r="N68" i="10"/>
  <c r="M68" i="10"/>
  <c r="AB67" i="10"/>
  <c r="N67" i="10"/>
  <c r="M67" i="10"/>
  <c r="AF66" i="10"/>
  <c r="AE66" i="10"/>
  <c r="AD66" i="10"/>
  <c r="AB66" i="10"/>
  <c r="N66" i="10"/>
  <c r="M66" i="10"/>
  <c r="AB65" i="10"/>
  <c r="N65" i="10"/>
  <c r="M65" i="10"/>
  <c r="AB64" i="10"/>
  <c r="N64" i="10"/>
  <c r="M64" i="10"/>
  <c r="AB63" i="10"/>
  <c r="N63" i="10"/>
  <c r="M63" i="10"/>
  <c r="N62" i="10"/>
  <c r="M62" i="10"/>
  <c r="X61" i="10"/>
  <c r="O37" i="10"/>
  <c r="O36" i="10"/>
  <c r="P37" i="10"/>
  <c r="C37" i="10"/>
  <c r="C36" i="10"/>
  <c r="D37" i="10"/>
  <c r="X36" i="10"/>
  <c r="I36" i="10"/>
  <c r="A36" i="10"/>
  <c r="U33" i="10"/>
  <c r="N33" i="10"/>
  <c r="M33" i="10"/>
  <c r="U32" i="10"/>
  <c r="N32" i="10"/>
  <c r="M32" i="10"/>
  <c r="N31" i="10"/>
  <c r="M31" i="10"/>
  <c r="U30" i="10"/>
  <c r="N30" i="10"/>
  <c r="M30" i="10"/>
  <c r="U29" i="10"/>
  <c r="N29" i="10"/>
  <c r="M29" i="10"/>
  <c r="U28" i="10"/>
  <c r="N28" i="10"/>
  <c r="M28" i="10"/>
  <c r="U27" i="10"/>
  <c r="N27" i="10"/>
  <c r="M27" i="10"/>
  <c r="U26" i="10"/>
  <c r="N26" i="10"/>
  <c r="M26" i="10"/>
  <c r="U25" i="10"/>
  <c r="N25" i="10"/>
  <c r="M25" i="10"/>
  <c r="U24" i="10"/>
  <c r="N24" i="10"/>
  <c r="M24" i="10"/>
  <c r="U22" i="10"/>
  <c r="N22" i="10"/>
  <c r="M22" i="10"/>
  <c r="U21" i="10"/>
  <c r="N21" i="10"/>
  <c r="M21" i="10"/>
  <c r="U20" i="10"/>
  <c r="N20" i="10"/>
  <c r="M20" i="10"/>
  <c r="U19" i="10"/>
  <c r="N19" i="10"/>
  <c r="M19" i="10"/>
  <c r="U18" i="10"/>
  <c r="N18" i="10"/>
  <c r="M18" i="10"/>
  <c r="U17" i="10"/>
  <c r="N17" i="10"/>
  <c r="M17" i="10"/>
  <c r="U16" i="10"/>
  <c r="N16" i="10"/>
  <c r="M16" i="10"/>
  <c r="U15" i="10"/>
  <c r="N15" i="10"/>
  <c r="M15" i="10"/>
  <c r="U14" i="10"/>
  <c r="N14" i="10"/>
  <c r="M14" i="10"/>
  <c r="X5" i="10"/>
  <c r="U4" i="10"/>
  <c r="U5" i="10"/>
  <c r="U6" i="10"/>
  <c r="U7" i="10"/>
  <c r="U8" i="10"/>
  <c r="U9" i="10"/>
  <c r="U10" i="10"/>
  <c r="U11" i="10"/>
  <c r="U12" i="10"/>
  <c r="U13" i="10"/>
  <c r="AA5" i="10"/>
  <c r="W6" i="10"/>
  <c r="X6" i="10"/>
  <c r="AA6" i="10"/>
  <c r="W7" i="10"/>
  <c r="X7" i="10"/>
  <c r="AA7" i="10"/>
  <c r="W8" i="10"/>
  <c r="X8" i="10"/>
  <c r="AA8" i="10"/>
  <c r="W9" i="10"/>
  <c r="X9" i="10"/>
  <c r="AA9" i="10"/>
  <c r="W10" i="10"/>
  <c r="X10" i="10"/>
  <c r="AA10" i="10"/>
  <c r="X11" i="10"/>
  <c r="W11" i="10"/>
  <c r="AA11" i="10"/>
  <c r="AA13" i="10"/>
  <c r="Z5" i="10"/>
  <c r="Z6" i="10"/>
  <c r="Z7" i="10"/>
  <c r="Z8" i="10"/>
  <c r="Z9" i="10"/>
  <c r="Z10" i="10"/>
  <c r="Z11" i="10"/>
  <c r="Z13" i="10"/>
  <c r="Y5" i="10"/>
  <c r="Y6" i="10"/>
  <c r="Y7" i="10"/>
  <c r="Y8" i="10"/>
  <c r="Y9" i="10"/>
  <c r="Y10" i="10"/>
  <c r="Y11" i="10"/>
  <c r="Y13" i="10"/>
  <c r="N13" i="10"/>
  <c r="M13" i="10"/>
  <c r="N12" i="10"/>
  <c r="M12" i="10"/>
  <c r="AB11" i="10"/>
  <c r="N11" i="10"/>
  <c r="M11" i="10"/>
  <c r="AB10" i="10"/>
  <c r="N10" i="10"/>
  <c r="M10" i="10"/>
  <c r="AB9" i="10"/>
  <c r="N9" i="10"/>
  <c r="M9" i="10"/>
  <c r="AF8" i="10"/>
  <c r="AE8" i="10"/>
  <c r="AD8" i="10"/>
  <c r="AB8" i="10"/>
  <c r="N8" i="10"/>
  <c r="M8" i="10"/>
  <c r="AB7" i="10"/>
  <c r="N7" i="10"/>
  <c r="M7" i="10"/>
  <c r="AB6" i="10"/>
  <c r="N6" i="10"/>
  <c r="M6" i="10"/>
  <c r="AB5" i="10"/>
  <c r="N5" i="10"/>
  <c r="M5" i="10"/>
  <c r="N4" i="10"/>
  <c r="M4" i="10"/>
  <c r="X3" i="10"/>
  <c r="AH37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4" i="8"/>
  <c r="AI35" i="8"/>
  <c r="AJ35" i="8"/>
  <c r="AK35" i="8"/>
  <c r="AL35" i="8"/>
  <c r="AM35" i="8"/>
  <c r="AN35" i="8"/>
  <c r="AO35" i="8"/>
  <c r="AP35" i="8"/>
  <c r="AQ35" i="8"/>
  <c r="AR35" i="8"/>
  <c r="AS35" i="8"/>
  <c r="AT35" i="8"/>
  <c r="AU35" i="8"/>
  <c r="AV35" i="8"/>
  <c r="AW35" i="8"/>
  <c r="AX35" i="8"/>
  <c r="AY35" i="8"/>
  <c r="AZ35" i="8"/>
  <c r="BA35" i="8"/>
  <c r="BB35" i="8"/>
  <c r="BC35" i="8"/>
  <c r="BD35" i="8"/>
  <c r="BE35" i="8"/>
  <c r="BF35" i="8"/>
  <c r="BG35" i="8"/>
  <c r="BH35" i="8"/>
  <c r="BI35" i="8"/>
  <c r="BJ35" i="8"/>
  <c r="BK35" i="8"/>
  <c r="BL35" i="8"/>
  <c r="BM35" i="8"/>
  <c r="BN35" i="8"/>
  <c r="BO35" i="8"/>
  <c r="BP35" i="8"/>
  <c r="BQ35" i="8"/>
  <c r="BR35" i="8"/>
  <c r="BS35" i="8"/>
  <c r="BT35" i="8"/>
  <c r="BU35" i="8"/>
  <c r="BV35" i="8"/>
  <c r="BW35" i="8"/>
  <c r="BX35" i="8"/>
  <c r="BY35" i="8"/>
  <c r="BZ35" i="8"/>
  <c r="AH35" i="8"/>
  <c r="AI270" i="8"/>
  <c r="AJ270" i="8"/>
  <c r="AK270" i="8"/>
  <c r="AL270" i="8"/>
  <c r="AH270" i="8"/>
  <c r="AI152" i="8"/>
  <c r="AJ152" i="8"/>
  <c r="AK152" i="8"/>
  <c r="AL152" i="8"/>
  <c r="AM152" i="8"/>
  <c r="AN152" i="8"/>
  <c r="AO152" i="8"/>
  <c r="AP152" i="8"/>
  <c r="AQ152" i="8"/>
  <c r="AR152" i="8"/>
  <c r="AS152" i="8"/>
  <c r="AT152" i="8"/>
  <c r="AU152" i="8"/>
  <c r="AV152" i="8"/>
  <c r="AH152" i="8"/>
  <c r="F316" i="8"/>
  <c r="F317" i="8"/>
  <c r="F318" i="8"/>
  <c r="F319" i="8"/>
  <c r="F315" i="8"/>
  <c r="R129" i="8"/>
  <c r="Q124" i="8"/>
  <c r="R124" i="8"/>
  <c r="Q125" i="8"/>
  <c r="R125" i="8"/>
  <c r="Q126" i="8"/>
  <c r="R126" i="8"/>
  <c r="Q127" i="8"/>
  <c r="R127" i="8"/>
  <c r="Q128" i="8"/>
  <c r="R128" i="8"/>
  <c r="Q129" i="8"/>
  <c r="R123" i="8"/>
  <c r="R12" i="8"/>
  <c r="N122" i="8"/>
  <c r="O122" i="8"/>
  <c r="N123" i="8"/>
  <c r="O123" i="8"/>
  <c r="N124" i="8"/>
  <c r="O124" i="8"/>
  <c r="N125" i="8"/>
  <c r="O125" i="8"/>
  <c r="N126" i="8"/>
  <c r="O126" i="8"/>
  <c r="N127" i="8"/>
  <c r="O127" i="8"/>
  <c r="N128" i="8"/>
  <c r="O128" i="8"/>
  <c r="N129" i="8"/>
  <c r="O129" i="8"/>
  <c r="N130" i="8"/>
  <c r="O130" i="8"/>
  <c r="N131" i="8"/>
  <c r="O131" i="8"/>
  <c r="N132" i="8"/>
  <c r="O132" i="8"/>
  <c r="N133" i="8"/>
  <c r="O133" i="8"/>
  <c r="N134" i="8"/>
  <c r="O134" i="8"/>
  <c r="N135" i="8"/>
  <c r="O135" i="8"/>
  <c r="N136" i="8"/>
  <c r="O136" i="8"/>
  <c r="N137" i="8"/>
  <c r="O137" i="8"/>
  <c r="N138" i="8"/>
  <c r="O138" i="8"/>
  <c r="N139" i="8"/>
  <c r="O139" i="8"/>
  <c r="N140" i="8"/>
  <c r="O140" i="8"/>
  <c r="N141" i="8"/>
  <c r="O141" i="8"/>
  <c r="N142" i="8"/>
  <c r="O142" i="8"/>
  <c r="N143" i="8"/>
  <c r="O143" i="8"/>
  <c r="N144" i="8"/>
  <c r="O144" i="8"/>
  <c r="N145" i="8"/>
  <c r="O145" i="8"/>
  <c r="N146" i="8"/>
  <c r="O146" i="8"/>
  <c r="N147" i="8"/>
  <c r="O147" i="8"/>
  <c r="N148" i="8"/>
  <c r="O148" i="8"/>
  <c r="N149" i="8"/>
  <c r="O149" i="8"/>
  <c r="N150" i="8"/>
  <c r="O150" i="8"/>
  <c r="N267" i="8"/>
  <c r="O267" i="8"/>
  <c r="N239" i="8"/>
  <c r="O239" i="8"/>
  <c r="N240" i="8"/>
  <c r="O240" i="8"/>
  <c r="N241" i="8"/>
  <c r="O241" i="8"/>
  <c r="N242" i="8"/>
  <c r="O242" i="8"/>
  <c r="N243" i="8"/>
  <c r="O243" i="8"/>
  <c r="N244" i="8"/>
  <c r="O244" i="8"/>
  <c r="N245" i="8"/>
  <c r="O245" i="8"/>
  <c r="N246" i="8"/>
  <c r="O246" i="8"/>
  <c r="N247" i="8"/>
  <c r="O247" i="8"/>
  <c r="N248" i="8"/>
  <c r="O248" i="8"/>
  <c r="N249" i="8"/>
  <c r="O249" i="8"/>
  <c r="N250" i="8"/>
  <c r="O250" i="8"/>
  <c r="N251" i="8"/>
  <c r="O251" i="8"/>
  <c r="N252" i="8"/>
  <c r="O252" i="8"/>
  <c r="N253" i="8"/>
  <c r="O253" i="8"/>
  <c r="N254" i="8"/>
  <c r="O254" i="8"/>
  <c r="N255" i="8"/>
  <c r="O255" i="8"/>
  <c r="N256" i="8"/>
  <c r="O256" i="8"/>
  <c r="N257" i="8"/>
  <c r="O257" i="8"/>
  <c r="N258" i="8"/>
  <c r="O258" i="8"/>
  <c r="N259" i="8"/>
  <c r="O259" i="8"/>
  <c r="N260" i="8"/>
  <c r="O260" i="8"/>
  <c r="N262" i="8"/>
  <c r="O262" i="8"/>
  <c r="N263" i="8"/>
  <c r="O263" i="8"/>
  <c r="N264" i="8"/>
  <c r="O264" i="8"/>
  <c r="N265" i="8"/>
  <c r="O265" i="8"/>
  <c r="N266" i="8"/>
  <c r="O266" i="8"/>
  <c r="T189" i="8"/>
  <c r="T181" i="8"/>
  <c r="T182" i="8"/>
  <c r="T183" i="8"/>
  <c r="T184" i="8"/>
  <c r="T185" i="8"/>
  <c r="T186" i="8"/>
  <c r="T187" i="8"/>
  <c r="O238" i="8"/>
  <c r="O270" i="8"/>
  <c r="N238" i="8"/>
  <c r="N270" i="8"/>
  <c r="O211" i="8"/>
  <c r="N211" i="8"/>
  <c r="O121" i="8"/>
  <c r="O153" i="8"/>
  <c r="N121" i="8"/>
  <c r="N153" i="8"/>
  <c r="O94" i="8"/>
  <c r="N94" i="8"/>
  <c r="O36" i="8"/>
  <c r="N36" i="8"/>
  <c r="U181" i="8"/>
  <c r="U182" i="8"/>
  <c r="U183" i="8"/>
  <c r="U184" i="8"/>
  <c r="U185" i="8"/>
  <c r="U186" i="8"/>
  <c r="U187" i="8"/>
  <c r="U180" i="8"/>
  <c r="T180" i="8"/>
  <c r="Q123" i="8"/>
  <c r="S123" i="8"/>
  <c r="T123" i="8"/>
  <c r="U123" i="8"/>
  <c r="S124" i="8"/>
  <c r="T124" i="8"/>
  <c r="U124" i="8"/>
  <c r="S125" i="8"/>
  <c r="T125" i="8"/>
  <c r="U125" i="8"/>
  <c r="S126" i="8"/>
  <c r="T126" i="8"/>
  <c r="U126" i="8"/>
  <c r="S127" i="8"/>
  <c r="T127" i="8"/>
  <c r="U127" i="8"/>
  <c r="S128" i="8"/>
  <c r="T128" i="8"/>
  <c r="U128" i="8"/>
  <c r="S129" i="8"/>
  <c r="T129" i="8"/>
  <c r="U129" i="8"/>
  <c r="U122" i="8"/>
  <c r="T122" i="8"/>
  <c r="S122" i="8"/>
  <c r="Q6" i="8"/>
  <c r="R6" i="8"/>
  <c r="Q7" i="8"/>
  <c r="R7" i="8"/>
  <c r="Q8" i="8"/>
  <c r="R8" i="8"/>
  <c r="Q9" i="8"/>
  <c r="R9" i="8"/>
  <c r="Q10" i="8"/>
  <c r="R10" i="8"/>
  <c r="Q11" i="8"/>
  <c r="R11" i="8"/>
  <c r="Q12" i="8"/>
  <c r="N180" i="8"/>
  <c r="O180" i="8"/>
  <c r="N181" i="8"/>
  <c r="O181" i="8"/>
  <c r="N182" i="8"/>
  <c r="O182" i="8"/>
  <c r="N183" i="8"/>
  <c r="O183" i="8"/>
  <c r="N184" i="8"/>
  <c r="O184" i="8"/>
  <c r="N185" i="8"/>
  <c r="O185" i="8"/>
  <c r="N186" i="8"/>
  <c r="O186" i="8"/>
  <c r="N187" i="8"/>
  <c r="O187" i="8"/>
  <c r="N188" i="8"/>
  <c r="O188" i="8"/>
  <c r="N189" i="8"/>
  <c r="O189" i="8"/>
  <c r="N190" i="8"/>
  <c r="O190" i="8"/>
  <c r="N191" i="8"/>
  <c r="O191" i="8"/>
  <c r="N192" i="8"/>
  <c r="O192" i="8"/>
  <c r="N193" i="8"/>
  <c r="O193" i="8"/>
  <c r="N194" i="8"/>
  <c r="O194" i="8"/>
  <c r="N195" i="8"/>
  <c r="O195" i="8"/>
  <c r="N196" i="8"/>
  <c r="O196" i="8"/>
  <c r="N197" i="8"/>
  <c r="O197" i="8"/>
  <c r="N198" i="8"/>
  <c r="O198" i="8"/>
  <c r="N199" i="8"/>
  <c r="O199" i="8"/>
  <c r="N200" i="8"/>
  <c r="O200" i="8"/>
  <c r="N201" i="8"/>
  <c r="O201" i="8"/>
  <c r="N202" i="8"/>
  <c r="O202" i="8"/>
  <c r="N203" i="8"/>
  <c r="O203" i="8"/>
  <c r="N204" i="8"/>
  <c r="O204" i="8"/>
  <c r="N205" i="8"/>
  <c r="O205" i="8"/>
  <c r="N206" i="8"/>
  <c r="O206" i="8"/>
  <c r="N207" i="8"/>
  <c r="O207" i="8"/>
  <c r="N208" i="8"/>
  <c r="O208" i="8"/>
  <c r="I271" i="8"/>
  <c r="I270" i="8"/>
  <c r="J271" i="8"/>
  <c r="R270" i="8"/>
  <c r="C270" i="8"/>
  <c r="Q240" i="8"/>
  <c r="R240" i="8"/>
  <c r="Q241" i="8"/>
  <c r="R241" i="8"/>
  <c r="Q242" i="8"/>
  <c r="R242" i="8"/>
  <c r="Q243" i="8"/>
  <c r="R243" i="8"/>
  <c r="Q244" i="8"/>
  <c r="R244" i="8"/>
  <c r="Q245" i="8"/>
  <c r="R245" i="8"/>
  <c r="Q246" i="8"/>
  <c r="U248" i="8"/>
  <c r="T248" i="8"/>
  <c r="S239" i="8"/>
  <c r="S240" i="8"/>
  <c r="S241" i="8"/>
  <c r="S242" i="8"/>
  <c r="S243" i="8"/>
  <c r="S244" i="8"/>
  <c r="S245" i="8"/>
  <c r="S248" i="8"/>
  <c r="V246" i="8"/>
  <c r="S246" i="8"/>
  <c r="V245" i="8"/>
  <c r="V244" i="8"/>
  <c r="V243" i="8"/>
  <c r="Z242" i="8"/>
  <c r="Y242" i="8"/>
  <c r="V242" i="8"/>
  <c r="V241" i="8"/>
  <c r="V240" i="8"/>
  <c r="V239" i="8"/>
  <c r="R237" i="8"/>
  <c r="Q181" i="8"/>
  <c r="R181" i="8"/>
  <c r="Q182" i="8"/>
  <c r="R182" i="8"/>
  <c r="Q183" i="8"/>
  <c r="R183" i="8"/>
  <c r="Q184" i="8"/>
  <c r="R184" i="8"/>
  <c r="Q185" i="8"/>
  <c r="R185" i="8"/>
  <c r="Q186" i="8"/>
  <c r="R186" i="8"/>
  <c r="Q187" i="8"/>
  <c r="I212" i="8"/>
  <c r="I211" i="8"/>
  <c r="J212" i="8"/>
  <c r="R211" i="8"/>
  <c r="C211" i="8"/>
  <c r="U189" i="8"/>
  <c r="S180" i="8"/>
  <c r="S181" i="8"/>
  <c r="S182" i="8"/>
  <c r="S183" i="8"/>
  <c r="S184" i="8"/>
  <c r="S185" i="8"/>
  <c r="S186" i="8"/>
  <c r="S189" i="8"/>
  <c r="V187" i="8"/>
  <c r="S187" i="8"/>
  <c r="V186" i="8"/>
  <c r="V185" i="8"/>
  <c r="V184" i="8"/>
  <c r="O179" i="8"/>
  <c r="Z183" i="8"/>
  <c r="N179" i="8"/>
  <c r="Y183" i="8"/>
  <c r="V183" i="8"/>
  <c r="V182" i="8"/>
  <c r="V181" i="8"/>
  <c r="V180" i="8"/>
  <c r="R178" i="8"/>
  <c r="S66" i="8"/>
  <c r="T66" i="8"/>
  <c r="U66" i="8"/>
  <c r="S67" i="8"/>
  <c r="T67" i="8"/>
  <c r="U67" i="8"/>
  <c r="S68" i="8"/>
  <c r="T68" i="8"/>
  <c r="U68" i="8"/>
  <c r="S69" i="8"/>
  <c r="T69" i="8"/>
  <c r="U69" i="8"/>
  <c r="S70" i="8"/>
  <c r="T70" i="8"/>
  <c r="U70" i="8"/>
  <c r="U65" i="8"/>
  <c r="T65" i="8"/>
  <c r="Q70" i="8"/>
  <c r="R70" i="8"/>
  <c r="Q65" i="8"/>
  <c r="R65" i="8"/>
  <c r="Q66" i="8"/>
  <c r="R66" i="8"/>
  <c r="Q67" i="8"/>
  <c r="R67" i="8"/>
  <c r="Q68" i="8"/>
  <c r="R68" i="8"/>
  <c r="Q69" i="8"/>
  <c r="R69" i="8"/>
  <c r="R64" i="8"/>
  <c r="Q64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62" i="8"/>
  <c r="N79" i="8"/>
  <c r="O79" i="8"/>
  <c r="N80" i="8"/>
  <c r="O80" i="8"/>
  <c r="N81" i="8"/>
  <c r="O81" i="8"/>
  <c r="N82" i="8"/>
  <c r="O82" i="8"/>
  <c r="N83" i="8"/>
  <c r="O83" i="8"/>
  <c r="N84" i="8"/>
  <c r="O84" i="8"/>
  <c r="N85" i="8"/>
  <c r="O85" i="8"/>
  <c r="N86" i="8"/>
  <c r="O86" i="8"/>
  <c r="N87" i="8"/>
  <c r="O87" i="8"/>
  <c r="N88" i="8"/>
  <c r="O88" i="8"/>
  <c r="N89" i="8"/>
  <c r="O89" i="8"/>
  <c r="N90" i="8"/>
  <c r="O90" i="8"/>
  <c r="N91" i="8"/>
  <c r="O91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4" i="8"/>
  <c r="I154" i="8"/>
  <c r="I153" i="8"/>
  <c r="J154" i="8"/>
  <c r="R153" i="8"/>
  <c r="C153" i="8"/>
  <c r="U131" i="8"/>
  <c r="T131" i="8"/>
  <c r="S131" i="8"/>
  <c r="V129" i="8"/>
  <c r="V128" i="8"/>
  <c r="V127" i="8"/>
  <c r="V126" i="8"/>
  <c r="Z125" i="8"/>
  <c r="Y125" i="8"/>
  <c r="V125" i="8"/>
  <c r="V124" i="8"/>
  <c r="V123" i="8"/>
  <c r="V122" i="8"/>
  <c r="R120" i="8"/>
  <c r="I95" i="8"/>
  <c r="I94" i="8"/>
  <c r="J95" i="8"/>
  <c r="C94" i="8"/>
  <c r="O78" i="8"/>
  <c r="N78" i="8"/>
  <c r="O77" i="8"/>
  <c r="N77" i="8"/>
  <c r="O76" i="8"/>
  <c r="N76" i="8"/>
  <c r="O75" i="8"/>
  <c r="N75" i="8"/>
  <c r="O74" i="8"/>
  <c r="N74" i="8"/>
  <c r="O73" i="8"/>
  <c r="N73" i="8"/>
  <c r="O62" i="8"/>
  <c r="O63" i="8"/>
  <c r="O64" i="8"/>
  <c r="O65" i="8"/>
  <c r="O66" i="8"/>
  <c r="O67" i="8"/>
  <c r="O68" i="8"/>
  <c r="O69" i="8"/>
  <c r="O70" i="8"/>
  <c r="O71" i="8"/>
  <c r="O72" i="8"/>
  <c r="U63" i="8"/>
  <c r="U64" i="8"/>
  <c r="U72" i="8"/>
  <c r="N62" i="8"/>
  <c r="N63" i="8"/>
  <c r="N64" i="8"/>
  <c r="N65" i="8"/>
  <c r="N66" i="8"/>
  <c r="N67" i="8"/>
  <c r="N68" i="8"/>
  <c r="N69" i="8"/>
  <c r="N70" i="8"/>
  <c r="N71" i="8"/>
  <c r="N72" i="8"/>
  <c r="T63" i="8"/>
  <c r="T64" i="8"/>
  <c r="T72" i="8"/>
  <c r="S63" i="8"/>
  <c r="S64" i="8"/>
  <c r="S65" i="8"/>
  <c r="S72" i="8"/>
  <c r="V70" i="8"/>
  <c r="V69" i="8"/>
  <c r="V68" i="8"/>
  <c r="V67" i="8"/>
  <c r="Z66" i="8"/>
  <c r="Y66" i="8"/>
  <c r="V66" i="8"/>
  <c r="V65" i="8"/>
  <c r="V64" i="8"/>
  <c r="V63" i="8"/>
  <c r="R61" i="8"/>
  <c r="I37" i="8"/>
  <c r="I36" i="8"/>
  <c r="J37" i="8"/>
  <c r="C36" i="8"/>
  <c r="U5" i="8"/>
  <c r="U6" i="8"/>
  <c r="U7" i="8"/>
  <c r="U8" i="8"/>
  <c r="U9" i="8"/>
  <c r="U10" i="8"/>
  <c r="U11" i="8"/>
  <c r="U13" i="8"/>
  <c r="T5" i="8"/>
  <c r="T6" i="8"/>
  <c r="T7" i="8"/>
  <c r="T8" i="8"/>
  <c r="T9" i="8"/>
  <c r="T10" i="8"/>
  <c r="T11" i="8"/>
  <c r="T13" i="8"/>
  <c r="S5" i="8"/>
  <c r="S6" i="8"/>
  <c r="S7" i="8"/>
  <c r="S8" i="8"/>
  <c r="S9" i="8"/>
  <c r="S10" i="8"/>
  <c r="S11" i="8"/>
  <c r="S13" i="8"/>
  <c r="V11" i="8"/>
  <c r="V10" i="8"/>
  <c r="V9" i="8"/>
  <c r="Z8" i="8"/>
  <c r="Y8" i="8"/>
  <c r="V8" i="8"/>
  <c r="V7" i="8"/>
  <c r="V6" i="8"/>
  <c r="V5" i="8"/>
  <c r="R3" i="8"/>
  <c r="I112" i="6"/>
  <c r="H112" i="6"/>
  <c r="L112" i="6"/>
  <c r="K112" i="6"/>
  <c r="O112" i="6"/>
  <c r="N112" i="6"/>
  <c r="R112" i="6"/>
  <c r="Q112" i="6"/>
  <c r="V112" i="6"/>
  <c r="U112" i="6"/>
  <c r="X112" i="6"/>
  <c r="Y112" i="6"/>
  <c r="Y73" i="6"/>
  <c r="X73" i="6"/>
  <c r="V73" i="6"/>
  <c r="U73" i="6"/>
  <c r="R73" i="6"/>
  <c r="Q73" i="6"/>
  <c r="O73" i="6"/>
  <c r="N73" i="6"/>
  <c r="L73" i="6"/>
  <c r="K73" i="6"/>
  <c r="I73" i="6"/>
  <c r="H73" i="6"/>
  <c r="I35" i="6"/>
  <c r="H35" i="6"/>
  <c r="Y35" i="6"/>
  <c r="X35" i="6"/>
  <c r="V35" i="6"/>
  <c r="U35" i="6"/>
  <c r="R35" i="6"/>
  <c r="Q35" i="6"/>
  <c r="O35" i="6"/>
  <c r="N35" i="6"/>
  <c r="L35" i="6"/>
  <c r="K35" i="6"/>
  <c r="AD112" i="6"/>
  <c r="AC112" i="6"/>
  <c r="AB112" i="6"/>
  <c r="AD73" i="6"/>
  <c r="AC73" i="6"/>
  <c r="AB73" i="6"/>
  <c r="AC35" i="6"/>
  <c r="AD35" i="6"/>
  <c r="AB35" i="6"/>
  <c r="AD110" i="6"/>
  <c r="AC110" i="6"/>
  <c r="AB110" i="6"/>
  <c r="AD109" i="6"/>
  <c r="AC109" i="6"/>
  <c r="AB109" i="6"/>
  <c r="AD108" i="6"/>
  <c r="AC108" i="6"/>
  <c r="AB108" i="6"/>
  <c r="AD107" i="6"/>
  <c r="AC107" i="6"/>
  <c r="AB107" i="6"/>
  <c r="AD106" i="6"/>
  <c r="AC106" i="6"/>
  <c r="AB106" i="6"/>
  <c r="AD105" i="6"/>
  <c r="AC105" i="6"/>
  <c r="AB105" i="6"/>
  <c r="AD104" i="6"/>
  <c r="AC104" i="6"/>
  <c r="AB104" i="6"/>
  <c r="AD103" i="6"/>
  <c r="AC103" i="6"/>
  <c r="AB103" i="6"/>
  <c r="AD102" i="6"/>
  <c r="AC102" i="6"/>
  <c r="AB102" i="6"/>
  <c r="AD101" i="6"/>
  <c r="AC101" i="6"/>
  <c r="AB101" i="6"/>
  <c r="AD100" i="6"/>
  <c r="AC100" i="6"/>
  <c r="AB100" i="6"/>
  <c r="AD99" i="6"/>
  <c r="AC99" i="6"/>
  <c r="AB99" i="6"/>
  <c r="AD98" i="6"/>
  <c r="AC98" i="6"/>
  <c r="AB98" i="6"/>
  <c r="AD97" i="6"/>
  <c r="AC97" i="6"/>
  <c r="AB97" i="6"/>
  <c r="AD96" i="6"/>
  <c r="AC96" i="6"/>
  <c r="AB96" i="6"/>
  <c r="AD95" i="6"/>
  <c r="AC95" i="6"/>
  <c r="AB95" i="6"/>
  <c r="AD94" i="6"/>
  <c r="AC94" i="6"/>
  <c r="AB94" i="6"/>
  <c r="AD93" i="6"/>
  <c r="AC93" i="6"/>
  <c r="AB93" i="6"/>
  <c r="AD92" i="6"/>
  <c r="AC92" i="6"/>
  <c r="AB92" i="6"/>
  <c r="AD91" i="6"/>
  <c r="AC91" i="6"/>
  <c r="AB91" i="6"/>
  <c r="AD90" i="6"/>
  <c r="AC90" i="6"/>
  <c r="AB90" i="6"/>
  <c r="AD89" i="6"/>
  <c r="AC89" i="6"/>
  <c r="AB89" i="6"/>
  <c r="AD88" i="6"/>
  <c r="AC88" i="6"/>
  <c r="AB88" i="6"/>
  <c r="AD87" i="6"/>
  <c r="AC87" i="6"/>
  <c r="AB87" i="6"/>
  <c r="AD86" i="6"/>
  <c r="AC86" i="6"/>
  <c r="AB86" i="6"/>
  <c r="AD85" i="6"/>
  <c r="AC85" i="6"/>
  <c r="AB85" i="6"/>
  <c r="AD84" i="6"/>
  <c r="AC84" i="6"/>
  <c r="AB84" i="6"/>
  <c r="AD83" i="6"/>
  <c r="AC83" i="6"/>
  <c r="AB83" i="6"/>
  <c r="AD82" i="6"/>
  <c r="AC82" i="6"/>
  <c r="AB82" i="6"/>
  <c r="AD81" i="6"/>
  <c r="AC81" i="6"/>
  <c r="AB81" i="6"/>
  <c r="AD71" i="6"/>
  <c r="AC71" i="6"/>
  <c r="AB71" i="6"/>
  <c r="AD70" i="6"/>
  <c r="AC70" i="6"/>
  <c r="AB70" i="6"/>
  <c r="AD69" i="6"/>
  <c r="AC69" i="6"/>
  <c r="AB69" i="6"/>
  <c r="AD68" i="6"/>
  <c r="AC68" i="6"/>
  <c r="AB68" i="6"/>
  <c r="AD67" i="6"/>
  <c r="AC67" i="6"/>
  <c r="AB67" i="6"/>
  <c r="AD66" i="6"/>
  <c r="AC66" i="6"/>
  <c r="AB66" i="6"/>
  <c r="AD65" i="6"/>
  <c r="AC65" i="6"/>
  <c r="AB65" i="6"/>
  <c r="AD64" i="6"/>
  <c r="AC64" i="6"/>
  <c r="AB64" i="6"/>
  <c r="AD63" i="6"/>
  <c r="AC63" i="6"/>
  <c r="AB63" i="6"/>
  <c r="AD62" i="6"/>
  <c r="AC62" i="6"/>
  <c r="AB62" i="6"/>
  <c r="AD61" i="6"/>
  <c r="AC61" i="6"/>
  <c r="AB61" i="6"/>
  <c r="AD60" i="6"/>
  <c r="AC60" i="6"/>
  <c r="AB60" i="6"/>
  <c r="AD59" i="6"/>
  <c r="AC59" i="6"/>
  <c r="AB59" i="6"/>
  <c r="AD58" i="6"/>
  <c r="AC58" i="6"/>
  <c r="AB58" i="6"/>
  <c r="AD57" i="6"/>
  <c r="AC57" i="6"/>
  <c r="AB57" i="6"/>
  <c r="AD56" i="6"/>
  <c r="AC56" i="6"/>
  <c r="AB56" i="6"/>
  <c r="AD55" i="6"/>
  <c r="AC55" i="6"/>
  <c r="AB55" i="6"/>
  <c r="AD54" i="6"/>
  <c r="AC54" i="6"/>
  <c r="AB54" i="6"/>
  <c r="AD53" i="6"/>
  <c r="AC53" i="6"/>
  <c r="AB53" i="6"/>
  <c r="AD52" i="6"/>
  <c r="AC52" i="6"/>
  <c r="AB52" i="6"/>
  <c r="AD51" i="6"/>
  <c r="AC51" i="6"/>
  <c r="AB51" i="6"/>
  <c r="AD50" i="6"/>
  <c r="AC50" i="6"/>
  <c r="AB50" i="6"/>
  <c r="AD49" i="6"/>
  <c r="AC49" i="6"/>
  <c r="AB49" i="6"/>
  <c r="AD48" i="6"/>
  <c r="AC48" i="6"/>
  <c r="AB48" i="6"/>
  <c r="AD47" i="6"/>
  <c r="AC47" i="6"/>
  <c r="AB47" i="6"/>
  <c r="AD46" i="6"/>
  <c r="AC46" i="6"/>
  <c r="AB46" i="6"/>
  <c r="AD45" i="6"/>
  <c r="AC45" i="6"/>
  <c r="AB45" i="6"/>
  <c r="AD44" i="6"/>
  <c r="AC44" i="6"/>
  <c r="AB44" i="6"/>
  <c r="AD43" i="6"/>
  <c r="AC43" i="6"/>
  <c r="AB43" i="6"/>
  <c r="AD42" i="6"/>
  <c r="AC42" i="6"/>
  <c r="AB42" i="6"/>
  <c r="AB5" i="6"/>
  <c r="AC5" i="6"/>
  <c r="AD5" i="6"/>
  <c r="AB6" i="6"/>
  <c r="AC6" i="6"/>
  <c r="AD6" i="6"/>
  <c r="AB7" i="6"/>
  <c r="AC7" i="6"/>
  <c r="AD7" i="6"/>
  <c r="AB8" i="6"/>
  <c r="AC8" i="6"/>
  <c r="AD8" i="6"/>
  <c r="AB9" i="6"/>
  <c r="AC9" i="6"/>
  <c r="AD9" i="6"/>
  <c r="AB10" i="6"/>
  <c r="AC10" i="6"/>
  <c r="AD10" i="6"/>
  <c r="AB11" i="6"/>
  <c r="AC11" i="6"/>
  <c r="AD11" i="6"/>
  <c r="AB12" i="6"/>
  <c r="AC12" i="6"/>
  <c r="AD12" i="6"/>
  <c r="AB13" i="6"/>
  <c r="AC13" i="6"/>
  <c r="AD13" i="6"/>
  <c r="AB14" i="6"/>
  <c r="AC14" i="6"/>
  <c r="AD14" i="6"/>
  <c r="AB15" i="6"/>
  <c r="AC15" i="6"/>
  <c r="AD15" i="6"/>
  <c r="AB16" i="6"/>
  <c r="AC16" i="6"/>
  <c r="AD16" i="6"/>
  <c r="AB17" i="6"/>
  <c r="AC17" i="6"/>
  <c r="AD17" i="6"/>
  <c r="AB18" i="6"/>
  <c r="AC18" i="6"/>
  <c r="AD18" i="6"/>
  <c r="AB19" i="6"/>
  <c r="AC19" i="6"/>
  <c r="AD19" i="6"/>
  <c r="AB20" i="6"/>
  <c r="AC20" i="6"/>
  <c r="AD20" i="6"/>
  <c r="AB21" i="6"/>
  <c r="AC21" i="6"/>
  <c r="AD21" i="6"/>
  <c r="AB22" i="6"/>
  <c r="AC22" i="6"/>
  <c r="AD22" i="6"/>
  <c r="AB23" i="6"/>
  <c r="AC23" i="6"/>
  <c r="AD23" i="6"/>
  <c r="AB24" i="6"/>
  <c r="AC24" i="6"/>
  <c r="AD24" i="6"/>
  <c r="AB25" i="6"/>
  <c r="AC25" i="6"/>
  <c r="AD25" i="6"/>
  <c r="AB26" i="6"/>
  <c r="AC26" i="6"/>
  <c r="AD26" i="6"/>
  <c r="AB27" i="6"/>
  <c r="AC27" i="6"/>
  <c r="AD27" i="6"/>
  <c r="AB28" i="6"/>
  <c r="AC28" i="6"/>
  <c r="AD28" i="6"/>
  <c r="AB29" i="6"/>
  <c r="AC29" i="6"/>
  <c r="AD29" i="6"/>
  <c r="AB30" i="6"/>
  <c r="AC30" i="6"/>
  <c r="AD30" i="6"/>
  <c r="AB31" i="6"/>
  <c r="AC31" i="6"/>
  <c r="AD31" i="6"/>
  <c r="AB32" i="6"/>
  <c r="AC32" i="6"/>
  <c r="AD32" i="6"/>
  <c r="AB33" i="6"/>
  <c r="AC33" i="6"/>
  <c r="AD33" i="6"/>
  <c r="AD4" i="6"/>
  <c r="AC4" i="6"/>
  <c r="AB4" i="6"/>
  <c r="W112" i="6"/>
  <c r="W73" i="6"/>
  <c r="W35" i="6"/>
  <c r="T113" i="6"/>
  <c r="S114" i="6"/>
  <c r="M114" i="6"/>
  <c r="S113" i="6"/>
  <c r="P113" i="6"/>
  <c r="S112" i="6"/>
  <c r="P112" i="6"/>
  <c r="M112" i="6"/>
  <c r="J112" i="6"/>
  <c r="G112" i="6"/>
  <c r="E112" i="6"/>
  <c r="C112" i="6"/>
  <c r="P74" i="6"/>
  <c r="S74" i="6"/>
  <c r="S75" i="6"/>
  <c r="M75" i="6"/>
  <c r="S73" i="6"/>
  <c r="P73" i="6"/>
  <c r="M73" i="6"/>
  <c r="J73" i="6"/>
  <c r="G73" i="6"/>
  <c r="E73" i="6"/>
  <c r="C73" i="6"/>
  <c r="J35" i="6"/>
  <c r="C35" i="6"/>
  <c r="E35" i="6"/>
  <c r="G35" i="6"/>
  <c r="M35" i="6"/>
  <c r="P35" i="6"/>
  <c r="S35" i="6"/>
  <c r="Y125" i="3"/>
  <c r="Z125" i="3"/>
  <c r="AA125" i="3"/>
  <c r="Y126" i="3"/>
  <c r="Z126" i="3"/>
  <c r="AA126" i="3"/>
  <c r="Y127" i="3"/>
  <c r="Z127" i="3"/>
  <c r="AA127" i="3"/>
  <c r="Y128" i="3"/>
  <c r="Z128" i="3"/>
  <c r="AA128" i="3"/>
  <c r="Y129" i="3"/>
  <c r="Z129" i="3"/>
  <c r="AA129" i="3"/>
  <c r="Y130" i="3"/>
  <c r="Z130" i="3"/>
  <c r="AA130" i="3"/>
  <c r="AA124" i="3"/>
  <c r="Z124" i="3"/>
  <c r="Y124" i="3"/>
  <c r="X124" i="3"/>
  <c r="U127" i="3"/>
  <c r="W125" i="3"/>
  <c r="X125" i="3"/>
  <c r="W126" i="3"/>
  <c r="X126" i="3"/>
  <c r="W127" i="3"/>
  <c r="X127" i="3"/>
  <c r="W128" i="3"/>
  <c r="X128" i="3"/>
  <c r="W129" i="3"/>
  <c r="X129" i="3"/>
  <c r="W130" i="3"/>
  <c r="U128" i="3"/>
  <c r="U129" i="3"/>
  <c r="U130" i="3"/>
  <c r="U131" i="3"/>
  <c r="U132" i="3"/>
  <c r="U133" i="3"/>
  <c r="U134" i="3"/>
  <c r="U137" i="3"/>
  <c r="U138" i="3"/>
  <c r="U139" i="3"/>
  <c r="U140" i="3"/>
  <c r="U141" i="3"/>
  <c r="U143" i="3"/>
  <c r="U144" i="3"/>
  <c r="U145" i="3"/>
  <c r="U146" i="3"/>
  <c r="U147" i="3"/>
  <c r="U148" i="3"/>
  <c r="U150" i="3"/>
  <c r="U151" i="3"/>
  <c r="U152" i="3"/>
  <c r="O156" i="3"/>
  <c r="O155" i="3"/>
  <c r="P156" i="3"/>
  <c r="D156" i="3"/>
  <c r="D155" i="3"/>
  <c r="E156" i="3"/>
  <c r="X155" i="3"/>
  <c r="I155" i="3"/>
  <c r="A155" i="3"/>
  <c r="N152" i="3"/>
  <c r="M152" i="3"/>
  <c r="N151" i="3"/>
  <c r="M151" i="3"/>
  <c r="N150" i="3"/>
  <c r="M150" i="3"/>
  <c r="N149" i="3"/>
  <c r="M149" i="3"/>
  <c r="N148" i="3"/>
  <c r="M148" i="3"/>
  <c r="N147" i="3"/>
  <c r="M147" i="3"/>
  <c r="N146" i="3"/>
  <c r="M146" i="3"/>
  <c r="N145" i="3"/>
  <c r="M145" i="3"/>
  <c r="N144" i="3"/>
  <c r="M144" i="3"/>
  <c r="N143" i="3"/>
  <c r="M143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X130" i="3"/>
  <c r="AB130" i="3"/>
  <c r="AB129" i="3"/>
  <c r="AB128" i="3"/>
  <c r="U123" i="3"/>
  <c r="U124" i="3"/>
  <c r="U125" i="3"/>
  <c r="U126" i="3"/>
  <c r="AF127" i="3"/>
  <c r="AE127" i="3"/>
  <c r="AD127" i="3"/>
  <c r="AB127" i="3"/>
  <c r="AB126" i="3"/>
  <c r="N126" i="3"/>
  <c r="M126" i="3"/>
  <c r="AB125" i="3"/>
  <c r="N125" i="3"/>
  <c r="M125" i="3"/>
  <c r="AB124" i="3"/>
  <c r="N124" i="3"/>
  <c r="M124" i="3"/>
  <c r="N123" i="3"/>
  <c r="M123" i="3"/>
  <c r="X122" i="3"/>
  <c r="X63" i="3"/>
  <c r="W64" i="3"/>
  <c r="X64" i="3"/>
  <c r="Y64" i="3"/>
  <c r="Z64" i="3"/>
  <c r="AA64" i="3"/>
  <c r="W65" i="3"/>
  <c r="X65" i="3"/>
  <c r="Y65" i="3"/>
  <c r="Z65" i="3"/>
  <c r="AA65" i="3"/>
  <c r="W66" i="3"/>
  <c r="X66" i="3"/>
  <c r="Y66" i="3"/>
  <c r="Z66" i="3"/>
  <c r="AA66" i="3"/>
  <c r="W67" i="3"/>
  <c r="X67" i="3"/>
  <c r="Y67" i="3"/>
  <c r="Z67" i="3"/>
  <c r="AA67" i="3"/>
  <c r="W68" i="3"/>
  <c r="X68" i="3"/>
  <c r="Y68" i="3"/>
  <c r="Z68" i="3"/>
  <c r="AA68" i="3"/>
  <c r="X69" i="3"/>
  <c r="W69" i="3"/>
  <c r="Y69" i="3"/>
  <c r="Z69" i="3"/>
  <c r="AA69" i="3"/>
  <c r="AA63" i="3"/>
  <c r="Z63" i="3"/>
  <c r="Y63" i="3"/>
  <c r="X94" i="3"/>
  <c r="O95" i="3"/>
  <c r="O94" i="3"/>
  <c r="P95" i="3"/>
  <c r="D95" i="3"/>
  <c r="D94" i="3"/>
  <c r="E95" i="3"/>
  <c r="I94" i="3"/>
  <c r="A94" i="3"/>
  <c r="N91" i="3"/>
  <c r="M91" i="3"/>
  <c r="N90" i="3"/>
  <c r="M90" i="3"/>
  <c r="N89" i="3"/>
  <c r="M89" i="3"/>
  <c r="N88" i="3"/>
  <c r="M88" i="3"/>
  <c r="N87" i="3"/>
  <c r="M87" i="3"/>
  <c r="N86" i="3"/>
  <c r="M86" i="3"/>
  <c r="N85" i="3"/>
  <c r="M85" i="3"/>
  <c r="N84" i="3"/>
  <c r="M84" i="3"/>
  <c r="N83" i="3"/>
  <c r="M83" i="3"/>
  <c r="N82" i="3"/>
  <c r="M82" i="3"/>
  <c r="N81" i="3"/>
  <c r="M81" i="3"/>
  <c r="N80" i="3"/>
  <c r="M80" i="3"/>
  <c r="N79" i="3"/>
  <c r="M79" i="3"/>
  <c r="N78" i="3"/>
  <c r="M78" i="3"/>
  <c r="N77" i="3"/>
  <c r="M77" i="3"/>
  <c r="N76" i="3"/>
  <c r="M76" i="3"/>
  <c r="N75" i="3"/>
  <c r="M75" i="3"/>
  <c r="N74" i="3"/>
  <c r="M74" i="3"/>
  <c r="N73" i="3"/>
  <c r="M73" i="3"/>
  <c r="N72" i="3"/>
  <c r="M72" i="3"/>
  <c r="X5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4" i="3"/>
  <c r="U25" i="3"/>
  <c r="U26" i="3"/>
  <c r="U27" i="3"/>
  <c r="U28" i="3"/>
  <c r="U29" i="3"/>
  <c r="U30" i="3"/>
  <c r="U32" i="3"/>
  <c r="U33" i="3"/>
  <c r="AA5" i="3"/>
  <c r="W6" i="3"/>
  <c r="X6" i="3"/>
  <c r="AA6" i="3"/>
  <c r="W7" i="3"/>
  <c r="X7" i="3"/>
  <c r="AA7" i="3"/>
  <c r="W8" i="3"/>
  <c r="X8" i="3"/>
  <c r="AA8" i="3"/>
  <c r="W9" i="3"/>
  <c r="X9" i="3"/>
  <c r="AA9" i="3"/>
  <c r="W10" i="3"/>
  <c r="X10" i="3"/>
  <c r="AA10" i="3"/>
  <c r="X11" i="3"/>
  <c r="W11" i="3"/>
  <c r="AA11" i="3"/>
  <c r="AA13" i="3"/>
  <c r="AA71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4" i="3"/>
  <c r="T25" i="3"/>
  <c r="T26" i="3"/>
  <c r="T27" i="3"/>
  <c r="T28" i="3"/>
  <c r="T29" i="3"/>
  <c r="T30" i="3"/>
  <c r="T32" i="3"/>
  <c r="T33" i="3"/>
  <c r="Z5" i="3"/>
  <c r="Z6" i="3"/>
  <c r="Z7" i="3"/>
  <c r="Z8" i="3"/>
  <c r="Z9" i="3"/>
  <c r="Z10" i="3"/>
  <c r="Z11" i="3"/>
  <c r="Z13" i="3"/>
  <c r="Z71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4" i="3"/>
  <c r="S25" i="3"/>
  <c r="S26" i="3"/>
  <c r="S27" i="3"/>
  <c r="S28" i="3"/>
  <c r="S29" i="3"/>
  <c r="S30" i="3"/>
  <c r="S32" i="3"/>
  <c r="S33" i="3"/>
  <c r="Y5" i="3"/>
  <c r="Y6" i="3"/>
  <c r="Y7" i="3"/>
  <c r="Y8" i="3"/>
  <c r="Y9" i="3"/>
  <c r="Y10" i="3"/>
  <c r="Y11" i="3"/>
  <c r="Y13" i="3"/>
  <c r="Y71" i="3"/>
  <c r="N71" i="3"/>
  <c r="M71" i="3"/>
  <c r="N70" i="3"/>
  <c r="M70" i="3"/>
  <c r="AB69" i="3"/>
  <c r="N69" i="3"/>
  <c r="M69" i="3"/>
  <c r="AB68" i="3"/>
  <c r="N68" i="3"/>
  <c r="M68" i="3"/>
  <c r="AB67" i="3"/>
  <c r="N67" i="3"/>
  <c r="M67" i="3"/>
  <c r="AF66" i="3"/>
  <c r="AE66" i="3"/>
  <c r="AD66" i="3"/>
  <c r="AB66" i="3"/>
  <c r="N66" i="3"/>
  <c r="M66" i="3"/>
  <c r="AB65" i="3"/>
  <c r="N65" i="3"/>
  <c r="M65" i="3"/>
  <c r="AB64" i="3"/>
  <c r="N64" i="3"/>
  <c r="M64" i="3"/>
  <c r="AB63" i="3"/>
  <c r="N63" i="3"/>
  <c r="M63" i="3"/>
  <c r="N62" i="3"/>
  <c r="M62" i="3"/>
  <c r="X61" i="3"/>
  <c r="O37" i="3"/>
  <c r="O36" i="3"/>
  <c r="P37" i="3"/>
  <c r="C37" i="3"/>
  <c r="C36" i="3"/>
  <c r="D37" i="3"/>
  <c r="X36" i="3"/>
  <c r="I36" i="3"/>
  <c r="A36" i="3"/>
  <c r="N33" i="3"/>
  <c r="M33" i="3"/>
  <c r="N32" i="3"/>
  <c r="M32" i="3"/>
  <c r="N31" i="3"/>
  <c r="M31" i="3"/>
  <c r="N30" i="3"/>
  <c r="M30" i="3"/>
  <c r="N29" i="3"/>
  <c r="M29" i="3"/>
  <c r="N28" i="3"/>
  <c r="M28" i="3"/>
  <c r="N27" i="3"/>
  <c r="M27" i="3"/>
  <c r="N26" i="3"/>
  <c r="M26" i="3"/>
  <c r="N25" i="3"/>
  <c r="M25" i="3"/>
  <c r="N24" i="3"/>
  <c r="M24" i="3"/>
  <c r="N23" i="3"/>
  <c r="M23" i="3"/>
  <c r="N22" i="3"/>
  <c r="M22" i="3"/>
  <c r="N21" i="3"/>
  <c r="M21" i="3"/>
  <c r="N20" i="3"/>
  <c r="M20" i="3"/>
  <c r="N19" i="3"/>
  <c r="M19" i="3"/>
  <c r="N18" i="3"/>
  <c r="M18" i="3"/>
  <c r="N17" i="3"/>
  <c r="M17" i="3"/>
  <c r="N16" i="3"/>
  <c r="M16" i="3"/>
  <c r="N15" i="3"/>
  <c r="M15" i="3"/>
  <c r="N14" i="3"/>
  <c r="M14" i="3"/>
  <c r="N13" i="3"/>
  <c r="M13" i="3"/>
  <c r="N12" i="3"/>
  <c r="M12" i="3"/>
  <c r="AB11" i="3"/>
  <c r="N11" i="3"/>
  <c r="M11" i="3"/>
  <c r="AB10" i="3"/>
  <c r="N10" i="3"/>
  <c r="M10" i="3"/>
  <c r="AB9" i="3"/>
  <c r="N9" i="3"/>
  <c r="M9" i="3"/>
  <c r="AF8" i="3"/>
  <c r="AE8" i="3"/>
  <c r="AD8" i="3"/>
  <c r="AB8" i="3"/>
  <c r="N8" i="3"/>
  <c r="M8" i="3"/>
  <c r="AB7" i="3"/>
  <c r="N7" i="3"/>
  <c r="M7" i="3"/>
  <c r="AB6" i="3"/>
  <c r="N6" i="3"/>
  <c r="M6" i="3"/>
  <c r="AB5" i="3"/>
  <c r="N5" i="3"/>
  <c r="M5" i="3"/>
  <c r="N4" i="3"/>
  <c r="M4" i="3"/>
  <c r="X3" i="3"/>
  <c r="S239" i="2"/>
  <c r="D272" i="2"/>
  <c r="D271" i="2"/>
  <c r="AA239" i="2"/>
  <c r="AE241" i="2"/>
  <c r="AF241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G241" i="2"/>
  <c r="AE242" i="2"/>
  <c r="AF242" i="2"/>
  <c r="AG242" i="2"/>
  <c r="AE243" i="2"/>
  <c r="AF243" i="2"/>
  <c r="AG243" i="2"/>
  <c r="AE244" i="2"/>
  <c r="AF244" i="2"/>
  <c r="AG244" i="2"/>
  <c r="AE245" i="2"/>
  <c r="AF245" i="2"/>
  <c r="AG245" i="2"/>
  <c r="AE246" i="2"/>
  <c r="AF246" i="2"/>
  <c r="AG246" i="2"/>
  <c r="AG240" i="2"/>
  <c r="AF240" i="2"/>
  <c r="AE24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180" i="2"/>
  <c r="D150" i="2"/>
  <c r="D149" i="2"/>
  <c r="D213" i="2"/>
  <c r="D212" i="2"/>
  <c r="AE182" i="2"/>
  <c r="AF182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G182" i="2"/>
  <c r="AE183" i="2"/>
  <c r="AF183" i="2"/>
  <c r="AG183" i="2"/>
  <c r="AE184" i="2"/>
  <c r="AF184" i="2"/>
  <c r="AG184" i="2"/>
  <c r="AE185" i="2"/>
  <c r="AF185" i="2"/>
  <c r="AG185" i="2"/>
  <c r="AE186" i="2"/>
  <c r="AF186" i="2"/>
  <c r="AG186" i="2"/>
  <c r="AE187" i="2"/>
  <c r="AF187" i="2"/>
  <c r="AG187" i="2"/>
  <c r="AG181" i="2"/>
  <c r="AF181" i="2"/>
  <c r="AE181" i="2"/>
  <c r="U272" i="2"/>
  <c r="U271" i="2"/>
  <c r="V272" i="2"/>
  <c r="J272" i="2"/>
  <c r="J271" i="2"/>
  <c r="K272" i="2"/>
  <c r="E272" i="2"/>
  <c r="O271" i="2"/>
  <c r="H271" i="2"/>
  <c r="A271" i="2"/>
  <c r="T268" i="2"/>
  <c r="S268" i="2"/>
  <c r="T267" i="2"/>
  <c r="S267" i="2"/>
  <c r="T266" i="2"/>
  <c r="S266" i="2"/>
  <c r="T265" i="2"/>
  <c r="S265" i="2"/>
  <c r="T264" i="2"/>
  <c r="S264" i="2"/>
  <c r="T263" i="2"/>
  <c r="S263" i="2"/>
  <c r="T262" i="2"/>
  <c r="S262" i="2"/>
  <c r="T261" i="2"/>
  <c r="S261" i="2"/>
  <c r="T260" i="2"/>
  <c r="S260" i="2"/>
  <c r="T259" i="2"/>
  <c r="S259" i="2"/>
  <c r="T258" i="2"/>
  <c r="S258" i="2"/>
  <c r="T257" i="2"/>
  <c r="S257" i="2"/>
  <c r="T256" i="2"/>
  <c r="S256" i="2"/>
  <c r="T255" i="2"/>
  <c r="S255" i="2"/>
  <c r="T254" i="2"/>
  <c r="S254" i="2"/>
  <c r="T253" i="2"/>
  <c r="S253" i="2"/>
  <c r="T252" i="2"/>
  <c r="S252" i="2"/>
  <c r="T251" i="2"/>
  <c r="S251" i="2"/>
  <c r="T250" i="2"/>
  <c r="S250" i="2"/>
  <c r="T249" i="2"/>
  <c r="S249" i="2"/>
  <c r="AD240" i="2"/>
  <c r="AC241" i="2"/>
  <c r="AD241" i="2"/>
  <c r="AC242" i="2"/>
  <c r="AD242" i="2"/>
  <c r="AC243" i="2"/>
  <c r="AD243" i="2"/>
  <c r="AC244" i="2"/>
  <c r="AD244" i="2"/>
  <c r="AC245" i="2"/>
  <c r="AD245" i="2"/>
  <c r="AD246" i="2"/>
  <c r="AC246" i="2"/>
  <c r="AG248" i="2"/>
  <c r="AF248" i="2"/>
  <c r="AE248" i="2"/>
  <c r="T248" i="2"/>
  <c r="S248" i="2"/>
  <c r="T247" i="2"/>
  <c r="S247" i="2"/>
  <c r="AH246" i="2"/>
  <c r="T246" i="2"/>
  <c r="S246" i="2"/>
  <c r="AH245" i="2"/>
  <c r="T245" i="2"/>
  <c r="S245" i="2"/>
  <c r="AH244" i="2"/>
  <c r="T244" i="2"/>
  <c r="S244" i="2"/>
  <c r="AL243" i="2"/>
  <c r="AK243" i="2"/>
  <c r="AJ243" i="2"/>
  <c r="AH243" i="2"/>
  <c r="T243" i="2"/>
  <c r="S243" i="2"/>
  <c r="AH242" i="2"/>
  <c r="T242" i="2"/>
  <c r="S242" i="2"/>
  <c r="AH241" i="2"/>
  <c r="T241" i="2"/>
  <c r="S241" i="2"/>
  <c r="AH240" i="2"/>
  <c r="T240" i="2"/>
  <c r="S240" i="2"/>
  <c r="T239" i="2"/>
  <c r="AD238" i="2"/>
  <c r="AD92" i="2"/>
  <c r="AD93" i="2"/>
  <c r="AD36" i="2"/>
  <c r="U213" i="2"/>
  <c r="U212" i="2"/>
  <c r="V213" i="2"/>
  <c r="J213" i="2"/>
  <c r="J212" i="2"/>
  <c r="K213" i="2"/>
  <c r="E213" i="2"/>
  <c r="O212" i="2"/>
  <c r="H212" i="2"/>
  <c r="A212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AD181" i="2"/>
  <c r="AC182" i="2"/>
  <c r="AD182" i="2"/>
  <c r="AC183" i="2"/>
  <c r="AD183" i="2"/>
  <c r="AC184" i="2"/>
  <c r="AD184" i="2"/>
  <c r="AC185" i="2"/>
  <c r="AD185" i="2"/>
  <c r="AC186" i="2"/>
  <c r="AD186" i="2"/>
  <c r="AD187" i="2"/>
  <c r="AC187" i="2"/>
  <c r="AG189" i="2"/>
  <c r="AF189" i="2"/>
  <c r="AE189" i="2"/>
  <c r="T189" i="2"/>
  <c r="T188" i="2"/>
  <c r="AH187" i="2"/>
  <c r="T187" i="2"/>
  <c r="AH186" i="2"/>
  <c r="T186" i="2"/>
  <c r="AH185" i="2"/>
  <c r="T185" i="2"/>
  <c r="AL184" i="2"/>
  <c r="AK184" i="2"/>
  <c r="AJ184" i="2"/>
  <c r="AH184" i="2"/>
  <c r="T184" i="2"/>
  <c r="AH183" i="2"/>
  <c r="T183" i="2"/>
  <c r="AH182" i="2"/>
  <c r="T182" i="2"/>
  <c r="AH181" i="2"/>
  <c r="T181" i="2"/>
  <c r="T180" i="2"/>
  <c r="AD179" i="2"/>
  <c r="AL8" i="2"/>
  <c r="AL64" i="2"/>
  <c r="AL121" i="2"/>
  <c r="AG118" i="2"/>
  <c r="AF118" i="2"/>
  <c r="AE118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AA145" i="2"/>
  <c r="AA146" i="2"/>
  <c r="AA144" i="2"/>
  <c r="AA137" i="2"/>
  <c r="AA138" i="2"/>
  <c r="AA139" i="2"/>
  <c r="AA140" i="2"/>
  <c r="AA141" i="2"/>
  <c r="AA142" i="2"/>
  <c r="AA143" i="2"/>
  <c r="AA136" i="2"/>
  <c r="AA128" i="2"/>
  <c r="AA129" i="2"/>
  <c r="AA130" i="2"/>
  <c r="AA131" i="2"/>
  <c r="AA132" i="2"/>
  <c r="AA133" i="2"/>
  <c r="AA134" i="2"/>
  <c r="AA135" i="2"/>
  <c r="AA127" i="2"/>
  <c r="AA118" i="2"/>
  <c r="AA119" i="2"/>
  <c r="AA120" i="2"/>
  <c r="AA121" i="2"/>
  <c r="AA122" i="2"/>
  <c r="AA123" i="2"/>
  <c r="AA124" i="2"/>
  <c r="AA125" i="2"/>
  <c r="AA126" i="2"/>
  <c r="S117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60" i="2"/>
  <c r="S60" i="2"/>
  <c r="T60" i="2"/>
  <c r="Y60" i="2"/>
  <c r="Z60" i="2"/>
  <c r="AA60" i="2"/>
  <c r="Y87" i="2"/>
  <c r="Z87" i="2"/>
  <c r="AA87" i="2"/>
  <c r="Z79" i="2"/>
  <c r="AA79" i="2"/>
  <c r="Y79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80" i="2"/>
  <c r="Y81" i="2"/>
  <c r="Y82" i="2"/>
  <c r="Y83" i="2"/>
  <c r="Y84" i="2"/>
  <c r="Y85" i="2"/>
  <c r="Y86" i="2"/>
  <c r="Y88" i="2"/>
  <c r="Y89" i="2"/>
  <c r="AD61" i="2"/>
  <c r="AC62" i="2"/>
  <c r="AD62" i="2"/>
  <c r="AE62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80" i="2"/>
  <c r="Z81" i="2"/>
  <c r="Z82" i="2"/>
  <c r="Z83" i="2"/>
  <c r="Z84" i="2"/>
  <c r="Z85" i="2"/>
  <c r="Z86" i="2"/>
  <c r="Z88" i="2"/>
  <c r="Z89" i="2"/>
  <c r="AF62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80" i="2"/>
  <c r="AA81" i="2"/>
  <c r="AA82" i="2"/>
  <c r="AA83" i="2"/>
  <c r="AA84" i="2"/>
  <c r="AA85" i="2"/>
  <c r="AA86" i="2"/>
  <c r="AA88" i="2"/>
  <c r="AA89" i="2"/>
  <c r="AG62" i="2"/>
  <c r="AC63" i="2"/>
  <c r="AD63" i="2"/>
  <c r="AE63" i="2"/>
  <c r="AF63" i="2"/>
  <c r="AG63" i="2"/>
  <c r="AC64" i="2"/>
  <c r="AD64" i="2"/>
  <c r="AE64" i="2"/>
  <c r="AF64" i="2"/>
  <c r="AG64" i="2"/>
  <c r="AC65" i="2"/>
  <c r="AD65" i="2"/>
  <c r="AE65" i="2"/>
  <c r="AF65" i="2"/>
  <c r="AG65" i="2"/>
  <c r="AC66" i="2"/>
  <c r="AD66" i="2"/>
  <c r="AE66" i="2"/>
  <c r="AF66" i="2"/>
  <c r="AG66" i="2"/>
  <c r="AD67" i="2"/>
  <c r="AC67" i="2"/>
  <c r="AE67" i="2"/>
  <c r="AF67" i="2"/>
  <c r="AG67" i="2"/>
  <c r="AG61" i="2"/>
  <c r="AF61" i="2"/>
  <c r="AE61" i="2"/>
  <c r="T89" i="2"/>
  <c r="S89" i="2"/>
  <c r="T88" i="2"/>
  <c r="S88" i="2"/>
  <c r="T87" i="2"/>
  <c r="S87" i="2"/>
  <c r="T86" i="2"/>
  <c r="S86" i="2"/>
  <c r="T85" i="2"/>
  <c r="S85" i="2"/>
  <c r="T84" i="2"/>
  <c r="S84" i="2"/>
  <c r="T83" i="2"/>
  <c r="S83" i="2"/>
  <c r="T82" i="2"/>
  <c r="S82" i="2"/>
  <c r="T81" i="2"/>
  <c r="S81" i="2"/>
  <c r="T80" i="2"/>
  <c r="S80" i="2"/>
  <c r="T79" i="2"/>
  <c r="S79" i="2"/>
  <c r="T78" i="2"/>
  <c r="S78" i="2"/>
  <c r="T77" i="2"/>
  <c r="S77" i="2"/>
  <c r="T76" i="2"/>
  <c r="S76" i="2"/>
  <c r="T75" i="2"/>
  <c r="S75" i="2"/>
  <c r="T74" i="2"/>
  <c r="S74" i="2"/>
  <c r="T73" i="2"/>
  <c r="S73" i="2"/>
  <c r="T72" i="2"/>
  <c r="S72" i="2"/>
  <c r="T71" i="2"/>
  <c r="S71" i="2"/>
  <c r="T70" i="2"/>
  <c r="S70" i="2"/>
  <c r="T69" i="2"/>
  <c r="S69" i="2"/>
  <c r="T68" i="2"/>
  <c r="S68" i="2"/>
  <c r="T67" i="2"/>
  <c r="S67" i="2"/>
  <c r="T66" i="2"/>
  <c r="S66" i="2"/>
  <c r="T65" i="2"/>
  <c r="S65" i="2"/>
  <c r="T64" i="2"/>
  <c r="S64" i="2"/>
  <c r="T63" i="2"/>
  <c r="S63" i="2"/>
  <c r="T62" i="2"/>
  <c r="S62" i="2"/>
  <c r="T61" i="2"/>
  <c r="S61" i="2"/>
  <c r="S23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4" i="2"/>
  <c r="Y25" i="2"/>
  <c r="Y26" i="2"/>
  <c r="Y27" i="2"/>
  <c r="Y28" i="2"/>
  <c r="Y29" i="2"/>
  <c r="Y30" i="2"/>
  <c r="Y32" i="2"/>
  <c r="Y33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7" i="2"/>
  <c r="S28" i="2"/>
  <c r="S29" i="2"/>
  <c r="S30" i="2"/>
  <c r="S31" i="2"/>
  <c r="S32" i="2"/>
  <c r="S33" i="2"/>
  <c r="Y4" i="2"/>
  <c r="S4" i="2"/>
  <c r="AA117" i="2"/>
  <c r="AD37" i="2"/>
  <c r="U150" i="2"/>
  <c r="U149" i="2"/>
  <c r="V150" i="2"/>
  <c r="J150" i="2"/>
  <c r="J149" i="2"/>
  <c r="K150" i="2"/>
  <c r="E150" i="2"/>
  <c r="O149" i="2"/>
  <c r="H149" i="2"/>
  <c r="A149" i="2"/>
  <c r="AD118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4" i="2"/>
  <c r="AA25" i="2"/>
  <c r="AA26" i="2"/>
  <c r="AA27" i="2"/>
  <c r="AA28" i="2"/>
  <c r="AA29" i="2"/>
  <c r="AA30" i="2"/>
  <c r="AA32" i="2"/>
  <c r="AA33" i="2"/>
  <c r="AC119" i="2"/>
  <c r="AD119" i="2"/>
  <c r="AG119" i="2"/>
  <c r="AC120" i="2"/>
  <c r="AD120" i="2"/>
  <c r="AG120" i="2"/>
  <c r="AC121" i="2"/>
  <c r="AD121" i="2"/>
  <c r="AG121" i="2"/>
  <c r="AC122" i="2"/>
  <c r="AD122" i="2"/>
  <c r="AG122" i="2"/>
  <c r="AC123" i="2"/>
  <c r="AD123" i="2"/>
  <c r="AG123" i="2"/>
  <c r="AD124" i="2"/>
  <c r="AC124" i="2"/>
  <c r="AG124" i="2"/>
  <c r="AG126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4" i="2"/>
  <c r="Z25" i="2"/>
  <c r="Z26" i="2"/>
  <c r="Z27" i="2"/>
  <c r="Z28" i="2"/>
  <c r="Z29" i="2"/>
  <c r="Z30" i="2"/>
  <c r="Z32" i="2"/>
  <c r="Z33" i="2"/>
  <c r="AF119" i="2"/>
  <c r="AF120" i="2"/>
  <c r="AF121" i="2"/>
  <c r="AF122" i="2"/>
  <c r="AF123" i="2"/>
  <c r="AF124" i="2"/>
  <c r="AF126" i="2"/>
  <c r="AE119" i="2"/>
  <c r="AE120" i="2"/>
  <c r="AE121" i="2"/>
  <c r="AE122" i="2"/>
  <c r="AE123" i="2"/>
  <c r="AE124" i="2"/>
  <c r="AE126" i="2"/>
  <c r="AH124" i="2"/>
  <c r="AH123" i="2"/>
  <c r="AH122" i="2"/>
  <c r="AK121" i="2"/>
  <c r="AJ121" i="2"/>
  <c r="AH121" i="2"/>
  <c r="AH120" i="2"/>
  <c r="AH119" i="2"/>
  <c r="AH118" i="2"/>
  <c r="AD116" i="2"/>
  <c r="U93" i="2"/>
  <c r="U92" i="2"/>
  <c r="V93" i="2"/>
  <c r="J93" i="2"/>
  <c r="J92" i="2"/>
  <c r="K93" i="2"/>
  <c r="C93" i="2"/>
  <c r="C92" i="2"/>
  <c r="D93" i="2"/>
  <c r="O92" i="2"/>
  <c r="H92" i="2"/>
  <c r="A92" i="2"/>
  <c r="AG69" i="2"/>
  <c r="AF69" i="2"/>
  <c r="AE69" i="2"/>
  <c r="AH67" i="2"/>
  <c r="AH66" i="2"/>
  <c r="AH65" i="2"/>
  <c r="AK64" i="2"/>
  <c r="AJ64" i="2"/>
  <c r="AH64" i="2"/>
  <c r="AH63" i="2"/>
  <c r="AH62" i="2"/>
  <c r="AH61" i="2"/>
  <c r="AD59" i="2"/>
  <c r="U37" i="2"/>
  <c r="U36" i="2"/>
  <c r="V37" i="2"/>
  <c r="AD11" i="2"/>
  <c r="AD5" i="2"/>
  <c r="AC6" i="2"/>
  <c r="AD6" i="2"/>
  <c r="AC7" i="2"/>
  <c r="AD7" i="2"/>
  <c r="AC8" i="2"/>
  <c r="AD8" i="2"/>
  <c r="AC9" i="2"/>
  <c r="AD9" i="2"/>
  <c r="AC10" i="2"/>
  <c r="AD10" i="2"/>
  <c r="AC11" i="2"/>
  <c r="AG11" i="2"/>
  <c r="AG5" i="2"/>
  <c r="AG6" i="2"/>
  <c r="AG7" i="2"/>
  <c r="AG8" i="2"/>
  <c r="AG9" i="2"/>
  <c r="AG10" i="2"/>
  <c r="AG13" i="2"/>
  <c r="J37" i="2"/>
  <c r="J36" i="2"/>
  <c r="K37" i="2"/>
  <c r="C37" i="2"/>
  <c r="C36" i="2"/>
  <c r="D37" i="2"/>
  <c r="AK8" i="2"/>
  <c r="AJ8" i="2"/>
  <c r="O36" i="2"/>
  <c r="AF6" i="2"/>
  <c r="AF7" i="2"/>
  <c r="AF8" i="2"/>
  <c r="AF9" i="2"/>
  <c r="AF10" i="2"/>
  <c r="AF11" i="2"/>
  <c r="AF5" i="2"/>
  <c r="AE6" i="2"/>
  <c r="AE7" i="2"/>
  <c r="AE8" i="2"/>
  <c r="AE9" i="2"/>
  <c r="AE10" i="2"/>
  <c r="AE11" i="2"/>
  <c r="H36" i="2"/>
  <c r="AH6" i="2"/>
  <c r="AH7" i="2"/>
  <c r="AH8" i="2"/>
  <c r="AH9" i="2"/>
  <c r="AH10" i="2"/>
  <c r="AH11" i="2"/>
  <c r="AH5" i="2"/>
  <c r="AF13" i="2"/>
  <c r="AD3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A36" i="2"/>
  <c r="T4" i="2"/>
  <c r="AE5" i="2"/>
  <c r="AE13" i="2"/>
  <c r="AA132" i="3"/>
  <c r="Z132" i="3"/>
  <c r="Y132" i="3"/>
</calcChain>
</file>

<file path=xl/sharedStrings.xml><?xml version="1.0" encoding="utf-8"?>
<sst xmlns="http://schemas.openxmlformats.org/spreadsheetml/2006/main" count="650" uniqueCount="100">
  <si>
    <t>UB</t>
  </si>
  <si>
    <t>senza UB dato SHFTBTNK</t>
  </si>
  <si>
    <t>con UB dato da SHFTBTNK</t>
  </si>
  <si>
    <t>SHFT_BTNK</t>
  </si>
  <si>
    <t>time</t>
  </si>
  <si>
    <t>n = 12</t>
  </si>
  <si>
    <t>m = 12</t>
  </si>
  <si>
    <t>LB</t>
  </si>
  <si>
    <t>LB3</t>
  </si>
  <si>
    <t>SC</t>
  </si>
  <si>
    <t>SC_LB</t>
  </si>
  <si>
    <t>DISG_MODEL</t>
  </si>
  <si>
    <t>SENZA OUTLIERS</t>
  </si>
  <si>
    <t>n = 15</t>
  </si>
  <si>
    <t>m = 15</t>
  </si>
  <si>
    <t>k</t>
  </si>
  <si>
    <t>OTT</t>
  </si>
  <si>
    <t>CV</t>
  </si>
  <si>
    <t>SC_LB3</t>
  </si>
  <si>
    <t>pvalue</t>
  </si>
  <si>
    <t>PRE-POST_UB</t>
  </si>
  <si>
    <t>alpha</t>
  </si>
  <si>
    <t>La media non cambia</t>
  </si>
  <si>
    <t>Su un'istanza piccola, in media, non si riscontrano grandi differenze</t>
  </si>
  <si>
    <t>eterosched</t>
  </si>
  <si>
    <t>accoppiati</t>
  </si>
  <si>
    <t>SHFT-OPT</t>
  </si>
  <si>
    <t>con UB dato da SHFTBTNK e 1 min di solve time</t>
  </si>
  <si>
    <t>OTT*</t>
  </si>
  <si>
    <t>DIFF_SOL</t>
  </si>
  <si>
    <t>senza UB dato SHFTBTNK e 1 min di solve time</t>
  </si>
  <si>
    <t>n = 7</t>
  </si>
  <si>
    <t>m = 7</t>
  </si>
  <si>
    <t>n = 10</t>
  </si>
  <si>
    <t>m = 10</t>
  </si>
  <si>
    <t>n = 17</t>
  </si>
  <si>
    <t>m = 17</t>
  </si>
  <si>
    <t>n = 13</t>
  </si>
  <si>
    <t>m = 13</t>
  </si>
  <si>
    <t>La media cambia</t>
  </si>
  <si>
    <t>La media cambia profondamente cambia</t>
  </si>
  <si>
    <t>Su un'istanza grande, in media, si riscontrano cospique differenze</t>
  </si>
  <si>
    <t>ANDAMENTO BOUNDS</t>
  </si>
  <si>
    <t>OPT</t>
  </si>
  <si>
    <t>LB2</t>
  </si>
  <si>
    <t>7x7</t>
  </si>
  <si>
    <t>12x12</t>
  </si>
  <si>
    <t>13x13</t>
  </si>
  <si>
    <t>DISG_MODEL_CON_T</t>
  </si>
  <si>
    <t>TIME_INDX_GIORD</t>
  </si>
  <si>
    <t>TIME_INDX_GIORD_CON_T</t>
  </si>
  <si>
    <t>TIME_INDX_MIA</t>
  </si>
  <si>
    <t>TIME_INDX_MIA_CON_T</t>
  </si>
  <si>
    <t>Ubs 5*5 (1&lt;=pj&lt;=30)</t>
  </si>
  <si>
    <t>Ubs 5*5 (30&lt;=pj&lt;=60)</t>
  </si>
  <si>
    <t>Ubs 5*5 (60&lt;=pj&lt;=90)</t>
  </si>
  <si>
    <t>RANK_BASED</t>
  </si>
  <si>
    <t>DM</t>
  </si>
  <si>
    <t>RB</t>
  </si>
  <si>
    <t>NVAR</t>
  </si>
  <si>
    <t>NCONS</t>
  </si>
  <si>
    <t>TIME</t>
  </si>
  <si>
    <t>Su un'istanza piccola, in media, l'ottimo batte la SHFT BTNK</t>
  </si>
  <si>
    <t xml:space="preserve">con p[i,j] = Uniform(1,30) sembra che n = 13, m = 13 sia il BE point </t>
  </si>
  <si>
    <t>60 &lt;=p[i,j] &lt;= 90</t>
  </si>
  <si>
    <t>30 &lt;=p[i,j] &lt;= 60</t>
  </si>
  <si>
    <t>1 &lt;=p[i,j] &lt;= 30</t>
  </si>
  <si>
    <t xml:space="preserve">TEMPI DI CALCOLO </t>
  </si>
  <si>
    <t>VAR</t>
  </si>
  <si>
    <t>VINCOLI</t>
  </si>
  <si>
    <t>Notiamo quanto segue: LB e OPT non si discostano molto mentre il LB3 si mostra peggiore; l'istanza è molto piccola e la SHFT si comporta molto bene.</t>
  </si>
  <si>
    <t>1 &lt;=p[j,h] &lt;= 30</t>
  </si>
  <si>
    <t>30 &lt;=p[j,h] &lt;= 60</t>
  </si>
  <si>
    <t>60 &lt;=p[j,h] &lt;= 90</t>
  </si>
  <si>
    <t>TI(1)</t>
  </si>
  <si>
    <t>TI*(1)</t>
  </si>
  <si>
    <t>TI(2)</t>
  </si>
  <si>
    <t>TI*(2)</t>
  </si>
  <si>
    <t>Non si osserva differenza tra le formulazioni in termini di vincoli</t>
  </si>
  <si>
    <t xml:space="preserve">Si osserva differenza tra le due formulazioni nonostante i trend siano decrescenti in entrambi i casi </t>
  </si>
  <si>
    <t>N_var</t>
  </si>
  <si>
    <t>N_cons</t>
  </si>
  <si>
    <t>SBH_TIME</t>
  </si>
  <si>
    <t>OPT(DM)_TIME</t>
  </si>
  <si>
    <t>n = 5</t>
  </si>
  <si>
    <t>m = 45</t>
  </si>
  <si>
    <t>n = 9</t>
  </si>
  <si>
    <t>m = 25</t>
  </si>
  <si>
    <t>n = 25</t>
  </si>
  <si>
    <t>m = 9</t>
  </si>
  <si>
    <t>n = 45</t>
  </si>
  <si>
    <t>m = 5</t>
  </si>
  <si>
    <t>0.35-1</t>
  </si>
  <si>
    <t>N_SOTTOPROB</t>
  </si>
  <si>
    <t>n=5,m=45</t>
  </si>
  <si>
    <t>n=9,m=25</t>
  </si>
  <si>
    <t>n=15,m=15</t>
  </si>
  <si>
    <t>n=25,m=9</t>
  </si>
  <si>
    <t>n=45,m=5</t>
  </si>
  <si>
    <t>10x10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</si>
</sst>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8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33" borderId="10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33" borderId="20" xfId="0" applyFill="1" applyBorder="1"/>
    <xf numFmtId="0" fontId="0" fillId="33" borderId="19" xfId="0" applyFill="1" applyBorder="1"/>
    <xf numFmtId="0" fontId="0" fillId="34" borderId="22" xfId="0" applyFill="1" applyBorder="1"/>
    <xf numFmtId="0" fontId="0" fillId="34" borderId="10" xfId="0" applyFill="1" applyBorder="1"/>
    <xf numFmtId="0" fontId="0" fillId="34" borderId="23" xfId="0" applyFill="1" applyBorder="1"/>
    <xf numFmtId="0" fontId="0" fillId="34" borderId="12" xfId="0" applyFill="1" applyBorder="1"/>
    <xf numFmtId="0" fontId="0" fillId="34" borderId="27" xfId="0" applyFill="1" applyBorder="1"/>
    <xf numFmtId="0" fontId="0" fillId="34" borderId="20" xfId="0" applyFill="1" applyBorder="1"/>
    <xf numFmtId="0" fontId="0" fillId="0" borderId="37" xfId="0" applyBorder="1"/>
    <xf numFmtId="0" fontId="0" fillId="35" borderId="16" xfId="0" applyFill="1" applyBorder="1"/>
    <xf numFmtId="0" fontId="0" fillId="35" borderId="13" xfId="0" applyFill="1" applyBorder="1"/>
    <xf numFmtId="0" fontId="0" fillId="36" borderId="24" xfId="0" applyFill="1" applyBorder="1"/>
    <xf numFmtId="0" fontId="0" fillId="36" borderId="23" xfId="0" applyFill="1" applyBorder="1"/>
    <xf numFmtId="0" fontId="0" fillId="36" borderId="12" xfId="0" applyFill="1" applyBorder="1"/>
    <xf numFmtId="0" fontId="16" fillId="0" borderId="0" xfId="0" applyFont="1"/>
    <xf numFmtId="0" fontId="0" fillId="34" borderId="29" xfId="0" applyFill="1" applyBorder="1"/>
    <xf numFmtId="0" fontId="0" fillId="34" borderId="0" xfId="0" applyFill="1"/>
    <xf numFmtId="0" fontId="0" fillId="34" borderId="37" xfId="0" applyFill="1" applyBorder="1"/>
    <xf numFmtId="0" fontId="0" fillId="0" borderId="38" xfId="0" applyBorder="1"/>
    <xf numFmtId="0" fontId="0" fillId="34" borderId="31" xfId="0" applyFill="1" applyBorder="1"/>
    <xf numFmtId="0" fontId="0" fillId="34" borderId="39" xfId="0" applyFill="1" applyBorder="1"/>
    <xf numFmtId="0" fontId="0" fillId="34" borderId="24" xfId="0" applyFill="1" applyBorder="1"/>
    <xf numFmtId="0" fontId="0" fillId="34" borderId="25" xfId="0" applyFill="1" applyBorder="1"/>
    <xf numFmtId="0" fontId="0" fillId="34" borderId="26" xfId="0" applyFill="1" applyBorder="1"/>
    <xf numFmtId="0" fontId="0" fillId="34" borderId="40" xfId="0" applyFill="1" applyBorder="1"/>
    <xf numFmtId="0" fontId="0" fillId="0" borderId="41" xfId="0" applyBorder="1"/>
    <xf numFmtId="0" fontId="0" fillId="37" borderId="33" xfId="0" applyFill="1" applyBorder="1"/>
    <xf numFmtId="0" fontId="0" fillId="37" borderId="0" xfId="0" applyFill="1"/>
    <xf numFmtId="0" fontId="0" fillId="37" borderId="37" xfId="0" applyFill="1" applyBorder="1"/>
    <xf numFmtId="0" fontId="0" fillId="38" borderId="14" xfId="0" applyFill="1" applyBorder="1"/>
    <xf numFmtId="0" fontId="0" fillId="38" borderId="16" xfId="0" applyFill="1" applyBorder="1"/>
    <xf numFmtId="0" fontId="0" fillId="38" borderId="18" xfId="0" applyFill="1" applyBorder="1"/>
    <xf numFmtId="0" fontId="0" fillId="39" borderId="15" xfId="0" applyFill="1" applyBorder="1"/>
    <xf numFmtId="0" fontId="0" fillId="39" borderId="17" xfId="0" applyFill="1" applyBorder="1"/>
    <xf numFmtId="0" fontId="0" fillId="39" borderId="21" xfId="0" applyFill="1" applyBorder="1"/>
    <xf numFmtId="0" fontId="0" fillId="0" borderId="42" xfId="0" applyBorder="1"/>
    <xf numFmtId="0" fontId="0" fillId="34" borderId="11" xfId="0" applyFill="1" applyBorder="1"/>
    <xf numFmtId="0" fontId="0" fillId="34" borderId="13" xfId="0" applyFill="1" applyBorder="1"/>
    <xf numFmtId="0" fontId="0" fillId="34" borderId="19" xfId="0" applyFill="1" applyBorder="1"/>
    <xf numFmtId="0" fontId="0" fillId="0" borderId="39" xfId="0" applyBorder="1"/>
    <xf numFmtId="0" fontId="0" fillId="36" borderId="17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18" fillId="0" borderId="0" xfId="0" applyFont="1"/>
    <xf numFmtId="0" fontId="0" fillId="0" borderId="0" xfId="0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0" fillId="34" borderId="45" xfId="0" applyFill="1" applyBorder="1"/>
    <xf numFmtId="0" fontId="0" fillId="34" borderId="17" xfId="0" applyFill="1" applyBorder="1"/>
    <xf numFmtId="0" fontId="16" fillId="40" borderId="0" xfId="0" applyFont="1" applyFill="1"/>
    <xf numFmtId="0" fontId="0" fillId="40" borderId="0" xfId="0" applyFill="1"/>
    <xf numFmtId="0" fontId="0" fillId="40" borderId="34" xfId="0" applyFill="1" applyBorder="1"/>
    <xf numFmtId="0" fontId="0" fillId="40" borderId="35" xfId="0" applyFill="1" applyBorder="1"/>
    <xf numFmtId="0" fontId="0" fillId="40" borderId="36" xfId="0" applyFill="1" applyBorder="1"/>
    <xf numFmtId="0" fontId="0" fillId="40" borderId="14" xfId="0" applyFill="1" applyBorder="1"/>
    <xf numFmtId="0" fontId="0" fillId="40" borderId="33" xfId="0" applyFill="1" applyBorder="1"/>
    <xf numFmtId="0" fontId="0" fillId="40" borderId="15" xfId="0" applyFill="1" applyBorder="1"/>
    <xf numFmtId="0" fontId="0" fillId="40" borderId="30" xfId="0" applyFill="1" applyBorder="1"/>
    <xf numFmtId="0" fontId="0" fillId="40" borderId="11" xfId="0" applyFill="1" applyBorder="1"/>
    <xf numFmtId="0" fontId="0" fillId="40" borderId="10" xfId="0" applyFill="1" applyBorder="1"/>
    <xf numFmtId="0" fontId="0" fillId="40" borderId="28" xfId="0" applyFill="1" applyBorder="1"/>
    <xf numFmtId="0" fontId="0" fillId="40" borderId="24" xfId="0" applyFill="1" applyBorder="1"/>
    <xf numFmtId="0" fontId="0" fillId="40" borderId="23" xfId="0" applyFill="1" applyBorder="1"/>
    <xf numFmtId="0" fontId="0" fillId="40" borderId="12" xfId="0" applyFill="1" applyBorder="1"/>
    <xf numFmtId="0" fontId="0" fillId="40" borderId="22" xfId="0" applyFill="1" applyBorder="1"/>
    <xf numFmtId="0" fontId="0" fillId="40" borderId="39" xfId="0" applyFill="1" applyBorder="1"/>
    <xf numFmtId="0" fontId="0" fillId="40" borderId="43" xfId="0" applyFill="1" applyBorder="1"/>
    <xf numFmtId="0" fontId="0" fillId="40" borderId="38" xfId="0" applyFill="1" applyBorder="1"/>
    <xf numFmtId="0" fontId="0" fillId="40" borderId="41" xfId="0" applyFill="1" applyBorder="1"/>
    <xf numFmtId="0" fontId="0" fillId="40" borderId="44" xfId="0" applyFill="1" applyBorder="1"/>
    <xf numFmtId="0" fontId="0" fillId="40" borderId="29" xfId="0" applyFill="1" applyBorder="1"/>
    <xf numFmtId="0" fontId="0" fillId="40" borderId="31" xfId="0" applyFill="1" applyBorder="1"/>
    <xf numFmtId="0" fontId="0" fillId="40" borderId="16" xfId="0" applyFill="1" applyBorder="1"/>
    <xf numFmtId="0" fontId="0" fillId="40" borderId="13" xfId="0" applyFill="1" applyBorder="1"/>
    <xf numFmtId="0" fontId="0" fillId="40" borderId="17" xfId="0" applyFill="1" applyBorder="1"/>
    <xf numFmtId="0" fontId="0" fillId="40" borderId="25" xfId="0" applyFill="1" applyBorder="1"/>
    <xf numFmtId="0" fontId="0" fillId="40" borderId="18" xfId="0" applyFill="1" applyBorder="1"/>
    <xf numFmtId="0" fontId="0" fillId="40" borderId="37" xfId="0" applyFill="1" applyBorder="1"/>
    <xf numFmtId="0" fontId="0" fillId="40" borderId="21" xfId="0" applyFill="1" applyBorder="1"/>
    <xf numFmtId="0" fontId="0" fillId="40" borderId="19" xfId="0" applyFill="1" applyBorder="1"/>
    <xf numFmtId="0" fontId="0" fillId="40" borderId="20" xfId="0" applyFill="1" applyBorder="1"/>
    <xf numFmtId="0" fontId="0" fillId="40" borderId="32" xfId="0" applyFill="1" applyBorder="1"/>
    <xf numFmtId="0" fontId="0" fillId="40" borderId="26" xfId="0" applyFill="1" applyBorder="1"/>
    <xf numFmtId="0" fontId="0" fillId="40" borderId="27" xfId="0" applyFill="1" applyBorder="1"/>
    <xf numFmtId="0" fontId="0" fillId="40" borderId="40" xfId="0" applyFill="1" applyBorder="1"/>
    <xf numFmtId="0" fontId="0" fillId="40" borderId="42" xfId="0" applyFill="1" applyBorder="1"/>
    <xf numFmtId="0" fontId="0" fillId="40" borderId="45" xfId="0" applyFill="1" applyBorder="1"/>
    <xf numFmtId="0" fontId="0" fillId="34" borderId="46" xfId="0" applyFill="1" applyBorder="1"/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40" borderId="34" xfId="0" applyFill="1" applyBorder="1" applyAlignment="1">
      <alignment horizontal="center"/>
    </xf>
    <xf numFmtId="0" fontId="0" fillId="40" borderId="35" xfId="0" applyFill="1" applyBorder="1" applyAlignment="1">
      <alignment horizontal="center"/>
    </xf>
    <xf numFmtId="0" fontId="0" fillId="40" borderId="36" xfId="0" applyFill="1" applyBorder="1" applyAlignment="1">
      <alignment horizontal="center"/>
    </xf>
    <xf numFmtId="0" fontId="0" fillId="40" borderId="0" xfId="0" applyFill="1" applyAlignment="1">
      <alignment horizontal="center"/>
    </xf>
    <xf numFmtId="164" fontId="0" fillId="0" borderId="0" xfId="42" applyNumberFormat="1" applyFont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Percentuale" xfId="42" builtinId="5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1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8FFF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Distribuzione</a:t>
            </a:r>
            <a:r>
              <a:rPr lang="en-US" baseline="0"/>
              <a:t> errori (n = 12, m = 12)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OTT</c:v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Non_guardare_perche_errato!$AH$5:$AH$11</c:f>
              <c:strCache>
                <c:ptCount val="7"/>
                <c:pt idx="0">
                  <c:v>0.00-0.10</c:v>
                </c:pt>
                <c:pt idx="1">
                  <c:v>0.10-0.20</c:v>
                </c:pt>
                <c:pt idx="2">
                  <c:v>0.20-0.30</c:v>
                </c:pt>
                <c:pt idx="3">
                  <c:v>0.30-0.40</c:v>
                </c:pt>
                <c:pt idx="4">
                  <c:v>0.40-0.50</c:v>
                </c:pt>
                <c:pt idx="5">
                  <c:v>0.50-0.60</c:v>
                </c:pt>
                <c:pt idx="6">
                  <c:v>0.60-1.00</c:v>
                </c:pt>
              </c:strCache>
            </c:strRef>
          </c:cat>
          <c:val>
            <c:numRef>
              <c:f>Non_guardare_perche_errato!$AE$5:$AE$11</c:f>
              <c:numCache>
                <c:formatCode>General</c:formatCode>
                <c:ptCount val="7"/>
                <c:pt idx="0">
                  <c:v>0</c:v>
                </c:pt>
                <c:pt idx="1">
                  <c:v>0.32142857142857145</c:v>
                </c:pt>
                <c:pt idx="2">
                  <c:v>0.5</c:v>
                </c:pt>
                <c:pt idx="3">
                  <c:v>0.10714285714285714</c:v>
                </c:pt>
                <c:pt idx="4">
                  <c:v>7.1428571428571425E-2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B-4939-BDE2-F7A97805B469}"/>
            </c:ext>
          </c:extLst>
        </c:ser>
        <c:ser>
          <c:idx val="1"/>
          <c:order val="1"/>
          <c:tx>
            <c:v>LB2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Non_guardare_perche_errato!$AH$5:$AH$11</c:f>
              <c:strCache>
                <c:ptCount val="7"/>
                <c:pt idx="0">
                  <c:v>0.00-0.10</c:v>
                </c:pt>
                <c:pt idx="1">
                  <c:v>0.10-0.20</c:v>
                </c:pt>
                <c:pt idx="2">
                  <c:v>0.20-0.30</c:v>
                </c:pt>
                <c:pt idx="3">
                  <c:v>0.30-0.40</c:v>
                </c:pt>
                <c:pt idx="4">
                  <c:v>0.40-0.50</c:v>
                </c:pt>
                <c:pt idx="5">
                  <c:v>0.50-0.60</c:v>
                </c:pt>
                <c:pt idx="6">
                  <c:v>0.60-1.00</c:v>
                </c:pt>
              </c:strCache>
            </c:strRef>
          </c:cat>
          <c:val>
            <c:numRef>
              <c:f>Non_guardare_perche_errato!$AF$5:$AF$11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0.2857142857142857</c:v>
                </c:pt>
                <c:pt idx="3">
                  <c:v>0.39285714285714285</c:v>
                </c:pt>
                <c:pt idx="4">
                  <c:v>0.21428571428571427</c:v>
                </c:pt>
                <c:pt idx="5">
                  <c:v>0.10714285714285714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4B-4939-BDE2-F7A97805B469}"/>
            </c:ext>
          </c:extLst>
        </c:ser>
        <c:ser>
          <c:idx val="2"/>
          <c:order val="2"/>
          <c:tx>
            <c:v>LB3</c:v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Non_guardare_perche_errato!$AG$5:$AG$11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0.10714285714285714</c:v>
                </c:pt>
                <c:pt idx="4">
                  <c:v>0.39285714285714285</c:v>
                </c:pt>
                <c:pt idx="5">
                  <c:v>0.35714285714285715</c:v>
                </c:pt>
                <c:pt idx="6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4B-4939-BDE2-F7A97805B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384207"/>
        <c:axId val="1095383727"/>
      </c:barChart>
      <c:catAx>
        <c:axId val="109538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3727"/>
        <c:crosses val="autoZero"/>
        <c:auto val="1"/>
        <c:lblAlgn val="ctr"/>
        <c:lblOffset val="100"/>
        <c:noMultiLvlLbl val="0"/>
      </c:catAx>
      <c:valAx>
        <c:axId val="109538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Tempi</a:t>
            </a:r>
            <a:r>
              <a:rPr lang="en-US" baseline="0"/>
              <a:t> di calcolo GUROBI (n = 12, m = 12)</a:t>
            </a:r>
            <a:endParaRPr lang="en-US"/>
          </a:p>
        </c:rich>
      </c:tx>
      <c:layout>
        <c:manualLayout>
          <c:xMode val="edge"/>
          <c:yMode val="edge"/>
          <c:x val="0.15766272901928496"/>
          <c:y val="3.54130941296664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yVal>
            <c:numRef>
              <c:f>Non_guardare_perche_errato!$C$4:$C$33</c:f>
              <c:numCache>
                <c:formatCode>General</c:formatCode>
                <c:ptCount val="30"/>
                <c:pt idx="0">
                  <c:v>11.14</c:v>
                </c:pt>
                <c:pt idx="1">
                  <c:v>7.2029999999999994</c:v>
                </c:pt>
                <c:pt idx="2">
                  <c:v>2.9379999999999988</c:v>
                </c:pt>
                <c:pt idx="3">
                  <c:v>1.9370000000000012</c:v>
                </c:pt>
                <c:pt idx="4">
                  <c:v>25.077999999999999</c:v>
                </c:pt>
                <c:pt idx="5">
                  <c:v>19.687999999999995</c:v>
                </c:pt>
                <c:pt idx="6">
                  <c:v>7.1720000000000113</c:v>
                </c:pt>
                <c:pt idx="7">
                  <c:v>9.7339999999999947</c:v>
                </c:pt>
                <c:pt idx="8">
                  <c:v>10.203000000000003</c:v>
                </c:pt>
                <c:pt idx="9">
                  <c:v>3.3439999999999941</c:v>
                </c:pt>
                <c:pt idx="10">
                  <c:v>16.906000000000006</c:v>
                </c:pt>
                <c:pt idx="11">
                  <c:v>9.453000000000003</c:v>
                </c:pt>
                <c:pt idx="12">
                  <c:v>6.2819999999999965</c:v>
                </c:pt>
                <c:pt idx="13">
                  <c:v>35.703000000000003</c:v>
                </c:pt>
                <c:pt idx="14">
                  <c:v>11.764999999999986</c:v>
                </c:pt>
                <c:pt idx="15">
                  <c:v>7.5790000000000077</c:v>
                </c:pt>
                <c:pt idx="16">
                  <c:v>7.1709999999999923</c:v>
                </c:pt>
                <c:pt idx="17">
                  <c:v>4.625</c:v>
                </c:pt>
                <c:pt idx="18">
                  <c:v>29.485000000000014</c:v>
                </c:pt>
                <c:pt idx="20">
                  <c:v>11.686999999999983</c:v>
                </c:pt>
                <c:pt idx="21">
                  <c:v>17.063000000000017</c:v>
                </c:pt>
                <c:pt idx="22">
                  <c:v>6.6560000000000059</c:v>
                </c:pt>
                <c:pt idx="23">
                  <c:v>14.625</c:v>
                </c:pt>
                <c:pt idx="24">
                  <c:v>2.8439999999999941</c:v>
                </c:pt>
                <c:pt idx="25">
                  <c:v>8.6719999999999686</c:v>
                </c:pt>
                <c:pt idx="26">
                  <c:v>19.687000000000012</c:v>
                </c:pt>
                <c:pt idx="28">
                  <c:v>31.687000000000126</c:v>
                </c:pt>
                <c:pt idx="29">
                  <c:v>3.6569999999999254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BA-475E-991E-F02821B27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564719"/>
        <c:axId val="1400565199"/>
      </c:scatterChart>
      <c:valAx>
        <c:axId val="140056471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400565199"/>
        <c:crosses val="autoZero"/>
        <c:crossBetween val="midCat"/>
      </c:valAx>
      <c:valAx>
        <c:axId val="140056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6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Tempi</a:t>
            </a:r>
            <a:r>
              <a:rPr lang="en-US" baseline="0"/>
              <a:t> di calcolo SHBT (n = 12, m = 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yVal>
            <c:numRef>
              <c:f>Non_guardare_perche_errato!$U$4:$U$33</c:f>
              <c:numCache>
                <c:formatCode>General</c:formatCode>
                <c:ptCount val="30"/>
                <c:pt idx="0">
                  <c:v>10.016</c:v>
                </c:pt>
                <c:pt idx="1">
                  <c:v>10.218999999999999</c:v>
                </c:pt>
                <c:pt idx="2">
                  <c:v>9.39</c:v>
                </c:pt>
                <c:pt idx="3">
                  <c:v>9.2349999999999994</c:v>
                </c:pt>
                <c:pt idx="4">
                  <c:v>11.905999999999999</c:v>
                </c:pt>
                <c:pt idx="5">
                  <c:v>11.390999999999998</c:v>
                </c:pt>
                <c:pt idx="6">
                  <c:v>11.234000000000009</c:v>
                </c:pt>
                <c:pt idx="7">
                  <c:v>10.796999999999997</c:v>
                </c:pt>
                <c:pt idx="8">
                  <c:v>10.390999999999991</c:v>
                </c:pt>
                <c:pt idx="9">
                  <c:v>11.625</c:v>
                </c:pt>
                <c:pt idx="10">
                  <c:v>11.203000000000003</c:v>
                </c:pt>
                <c:pt idx="11">
                  <c:v>10.421999999999997</c:v>
                </c:pt>
                <c:pt idx="12">
                  <c:v>10.78100000000002</c:v>
                </c:pt>
                <c:pt idx="13">
                  <c:v>11.061999999999983</c:v>
                </c:pt>
                <c:pt idx="14">
                  <c:v>10.735000000000014</c:v>
                </c:pt>
                <c:pt idx="15">
                  <c:v>11.217999999999989</c:v>
                </c:pt>
                <c:pt idx="16">
                  <c:v>11.140999999999991</c:v>
                </c:pt>
                <c:pt idx="17">
                  <c:v>10.859000000000009</c:v>
                </c:pt>
                <c:pt idx="18">
                  <c:v>12.546999999999997</c:v>
                </c:pt>
                <c:pt idx="20">
                  <c:v>9.3129999999999882</c:v>
                </c:pt>
                <c:pt idx="21">
                  <c:v>8.6560000000000628</c:v>
                </c:pt>
                <c:pt idx="22">
                  <c:v>10.75</c:v>
                </c:pt>
                <c:pt idx="23">
                  <c:v>10.75</c:v>
                </c:pt>
                <c:pt idx="24">
                  <c:v>11.046999999999912</c:v>
                </c:pt>
                <c:pt idx="25">
                  <c:v>11.187999999999988</c:v>
                </c:pt>
                <c:pt idx="26">
                  <c:v>11.078000000000088</c:v>
                </c:pt>
                <c:pt idx="28">
                  <c:v>9.5310000000000628</c:v>
                </c:pt>
                <c:pt idx="29">
                  <c:v>11.280999999999949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21-4817-99A9-9BBA1EE33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Tempi</a:t>
            </a:r>
            <a:r>
              <a:rPr lang="en-US" baseline="0"/>
              <a:t> di calcolo SHBT (n = 7 , m =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yVal>
            <c:numRef>
              <c:f>Non_guardare_perche_errato!$U$117:$U$146</c:f>
              <c:numCache>
                <c:formatCode>General</c:formatCode>
                <c:ptCount val="30"/>
                <c:pt idx="0">
                  <c:v>1.141</c:v>
                </c:pt>
                <c:pt idx="1">
                  <c:v>1.4060000000000001</c:v>
                </c:pt>
                <c:pt idx="2">
                  <c:v>1.5470000000000002</c:v>
                </c:pt>
                <c:pt idx="3">
                  <c:v>1.734</c:v>
                </c:pt>
                <c:pt idx="4">
                  <c:v>1.7809999999999997</c:v>
                </c:pt>
                <c:pt idx="5">
                  <c:v>1.657</c:v>
                </c:pt>
                <c:pt idx="6">
                  <c:v>1.6709999999999994</c:v>
                </c:pt>
                <c:pt idx="7">
                  <c:v>1.7040000000000006</c:v>
                </c:pt>
                <c:pt idx="8">
                  <c:v>1.7029999999999994</c:v>
                </c:pt>
                <c:pt idx="9">
                  <c:v>1.625</c:v>
                </c:pt>
                <c:pt idx="10">
                  <c:v>1.6719999999999988</c:v>
                </c:pt>
                <c:pt idx="11">
                  <c:v>1.6710000000000029</c:v>
                </c:pt>
                <c:pt idx="12">
                  <c:v>1.6409999999999982</c:v>
                </c:pt>
                <c:pt idx="13">
                  <c:v>1.7970000000000006</c:v>
                </c:pt>
                <c:pt idx="14">
                  <c:v>1.7029999999999994</c:v>
                </c:pt>
                <c:pt idx="15">
                  <c:v>1.6410000000000018</c:v>
                </c:pt>
                <c:pt idx="16">
                  <c:v>1.6400000000000006</c:v>
                </c:pt>
                <c:pt idx="17">
                  <c:v>1.6879999999999988</c:v>
                </c:pt>
                <c:pt idx="18">
                  <c:v>1.6089999999999982</c:v>
                </c:pt>
                <c:pt idx="19">
                  <c:v>1.6720000000000041</c:v>
                </c:pt>
                <c:pt idx="20">
                  <c:v>1.671999999999997</c:v>
                </c:pt>
                <c:pt idx="21">
                  <c:v>1.6409999999999982</c:v>
                </c:pt>
                <c:pt idx="22">
                  <c:v>1.6870000000000047</c:v>
                </c:pt>
                <c:pt idx="23">
                  <c:v>1.671999999999997</c:v>
                </c:pt>
                <c:pt idx="24">
                  <c:v>1.6409999999999982</c:v>
                </c:pt>
                <c:pt idx="25">
                  <c:v>1.6709999999999994</c:v>
                </c:pt>
                <c:pt idx="26">
                  <c:v>1.7190000000000012</c:v>
                </c:pt>
                <c:pt idx="27">
                  <c:v>1.6559999999999988</c:v>
                </c:pt>
                <c:pt idx="28">
                  <c:v>1.6720000000000041</c:v>
                </c:pt>
                <c:pt idx="29">
                  <c:v>1.6879999999999953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20-42C7-A57D-9272B5FC4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Tempi</a:t>
            </a:r>
            <a:r>
              <a:rPr lang="en-US" baseline="0"/>
              <a:t> di calcolo GUROBI (n = 7, m = 7)</a:t>
            </a:r>
            <a:endParaRPr lang="en-US"/>
          </a:p>
        </c:rich>
      </c:tx>
      <c:layout>
        <c:manualLayout>
          <c:xMode val="edge"/>
          <c:yMode val="edge"/>
          <c:x val="0.23796868627618167"/>
          <c:y val="2.65656245046174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yVal>
            <c:numRef>
              <c:f>Non_guardare_perche_errato!$D$117:$D$146</c:f>
              <c:numCache>
                <c:formatCode>General</c:formatCode>
                <c:ptCount val="30"/>
                <c:pt idx="0">
                  <c:v>9.2999999999999999E-2</c:v>
                </c:pt>
                <c:pt idx="1">
                  <c:v>6.2E-2</c:v>
                </c:pt>
                <c:pt idx="2">
                  <c:v>0.156</c:v>
                </c:pt>
                <c:pt idx="3">
                  <c:v>6.2E-2</c:v>
                </c:pt>
                <c:pt idx="4">
                  <c:v>4.6999999999999986E-2</c:v>
                </c:pt>
                <c:pt idx="5">
                  <c:v>6.2E-2</c:v>
                </c:pt>
                <c:pt idx="6">
                  <c:v>6.2000000000000055E-2</c:v>
                </c:pt>
                <c:pt idx="7">
                  <c:v>0.15599999999999992</c:v>
                </c:pt>
                <c:pt idx="8">
                  <c:v>0.125</c:v>
                </c:pt>
                <c:pt idx="9">
                  <c:v>0.125</c:v>
                </c:pt>
                <c:pt idx="10">
                  <c:v>9.4000000000000083E-2</c:v>
                </c:pt>
                <c:pt idx="11">
                  <c:v>0.18700000000000006</c:v>
                </c:pt>
                <c:pt idx="12">
                  <c:v>0.1399999999999999</c:v>
                </c:pt>
                <c:pt idx="13">
                  <c:v>0.10899999999999999</c:v>
                </c:pt>
                <c:pt idx="14">
                  <c:v>0.18700000000000006</c:v>
                </c:pt>
                <c:pt idx="15">
                  <c:v>4.6999999999999931E-2</c:v>
                </c:pt>
                <c:pt idx="16">
                  <c:v>0.20300000000000007</c:v>
                </c:pt>
                <c:pt idx="17">
                  <c:v>6.2999999999999945E-2</c:v>
                </c:pt>
                <c:pt idx="18">
                  <c:v>6.3000000000000167E-2</c:v>
                </c:pt>
                <c:pt idx="19">
                  <c:v>0.17199999999999971</c:v>
                </c:pt>
                <c:pt idx="20">
                  <c:v>4.7000000000000153E-2</c:v>
                </c:pt>
                <c:pt idx="21">
                  <c:v>7.7999999999999847E-2</c:v>
                </c:pt>
                <c:pt idx="22">
                  <c:v>6.3000000000000167E-2</c:v>
                </c:pt>
                <c:pt idx="23">
                  <c:v>0.10899999999999999</c:v>
                </c:pt>
                <c:pt idx="24">
                  <c:v>7.7999999999999847E-2</c:v>
                </c:pt>
                <c:pt idx="25">
                  <c:v>4.7000000000000153E-2</c:v>
                </c:pt>
                <c:pt idx="26">
                  <c:v>6.3000000000000167E-2</c:v>
                </c:pt>
                <c:pt idx="27">
                  <c:v>0.26499999999999968</c:v>
                </c:pt>
                <c:pt idx="28">
                  <c:v>6.2000000000000277E-2</c:v>
                </c:pt>
                <c:pt idx="29">
                  <c:v>0.10899999999999999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E1-4816-9DC8-DC9B4364A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564719"/>
        <c:axId val="1400565199"/>
      </c:scatterChart>
      <c:valAx>
        <c:axId val="140056471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400565199"/>
        <c:crosses val="autoZero"/>
        <c:crossBetween val="midCat"/>
      </c:valAx>
      <c:valAx>
        <c:axId val="140056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6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Tempi</a:t>
            </a:r>
            <a:r>
              <a:rPr lang="en-US" baseline="0"/>
              <a:t> di calcolo SHBT (n = 13, m = 13)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yVal>
            <c:numRef>
              <c:f>'Risultati buoni'!$O$123:$O$152</c:f>
              <c:numCache>
                <c:formatCode>General</c:formatCode>
                <c:ptCount val="30"/>
                <c:pt idx="0">
                  <c:v>21.109000000000002</c:v>
                </c:pt>
                <c:pt idx="1">
                  <c:v>27.75</c:v>
                </c:pt>
                <c:pt idx="2">
                  <c:v>22.937999999999995</c:v>
                </c:pt>
                <c:pt idx="3">
                  <c:v>27.296999999999997</c:v>
                </c:pt>
                <c:pt idx="4">
                  <c:v>10.843</c:v>
                </c:pt>
                <c:pt idx="5">
                  <c:v>11.141000000000002</c:v>
                </c:pt>
                <c:pt idx="6">
                  <c:v>17.796999999999997</c:v>
                </c:pt>
                <c:pt idx="7">
                  <c:v>22.359000000000002</c:v>
                </c:pt>
                <c:pt idx="8">
                  <c:v>18.766000000000005</c:v>
                </c:pt>
                <c:pt idx="9">
                  <c:v>16.765000000000001</c:v>
                </c:pt>
                <c:pt idx="10">
                  <c:v>15.812999999999988</c:v>
                </c:pt>
                <c:pt idx="11">
                  <c:v>18.250000000000014</c:v>
                </c:pt>
                <c:pt idx="14">
                  <c:v>19.578000000000003</c:v>
                </c:pt>
                <c:pt idx="15">
                  <c:v>20.014999999999986</c:v>
                </c:pt>
                <c:pt idx="16">
                  <c:v>18.921999999999997</c:v>
                </c:pt>
                <c:pt idx="17">
                  <c:v>19.875</c:v>
                </c:pt>
                <c:pt idx="18">
                  <c:v>19.578000000000031</c:v>
                </c:pt>
                <c:pt idx="20">
                  <c:v>15</c:v>
                </c:pt>
                <c:pt idx="21">
                  <c:v>14.438000000000002</c:v>
                </c:pt>
                <c:pt idx="22">
                  <c:v>17.218999999999994</c:v>
                </c:pt>
                <c:pt idx="23">
                  <c:v>15.843000000000004</c:v>
                </c:pt>
                <c:pt idx="24">
                  <c:v>16.156999999999996</c:v>
                </c:pt>
                <c:pt idx="25">
                  <c:v>17.436999999999998</c:v>
                </c:pt>
                <c:pt idx="27">
                  <c:v>15.921999999999997</c:v>
                </c:pt>
                <c:pt idx="28">
                  <c:v>16.578000000000003</c:v>
                </c:pt>
                <c:pt idx="29">
                  <c:v>17.296999999999997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B8-4F2E-8DFA-9748DA8FD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Tempi</a:t>
            </a:r>
            <a:r>
              <a:rPr lang="en-US" baseline="0"/>
              <a:t> di calcolo GUROBI (n = 13, m = 13)</a:t>
            </a:r>
            <a:endParaRPr lang="en-US"/>
          </a:p>
        </c:rich>
      </c:tx>
      <c:layout>
        <c:manualLayout>
          <c:xMode val="edge"/>
          <c:yMode val="edge"/>
          <c:x val="0.19198543620969849"/>
          <c:y val="3.0870543984482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yVal>
            <c:numRef>
              <c:f>'Risultati buoni'!$D$123:$D$152</c:f>
              <c:numCache>
                <c:formatCode>General</c:formatCode>
                <c:ptCount val="30"/>
                <c:pt idx="0">
                  <c:v>271.04599999999999</c:v>
                </c:pt>
                <c:pt idx="1">
                  <c:v>18.656000000000006</c:v>
                </c:pt>
                <c:pt idx="2">
                  <c:v>16.593000000000018</c:v>
                </c:pt>
                <c:pt idx="3">
                  <c:v>26.452999999999975</c:v>
                </c:pt>
                <c:pt idx="4">
                  <c:v>728.59400000000005</c:v>
                </c:pt>
                <c:pt idx="5">
                  <c:v>8.8899999999998727</c:v>
                </c:pt>
                <c:pt idx="6">
                  <c:v>127.54700000000003</c:v>
                </c:pt>
                <c:pt idx="7">
                  <c:v>17</c:v>
                </c:pt>
                <c:pt idx="8">
                  <c:v>475.3130000000001</c:v>
                </c:pt>
                <c:pt idx="9">
                  <c:v>19.219000000000051</c:v>
                </c:pt>
                <c:pt idx="10">
                  <c:v>9.6879999999998745</c:v>
                </c:pt>
                <c:pt idx="11">
                  <c:v>58.094000000000051</c:v>
                </c:pt>
                <c:pt idx="14">
                  <c:v>109.79700000000003</c:v>
                </c:pt>
                <c:pt idx="15">
                  <c:v>219</c:v>
                </c:pt>
                <c:pt idx="16">
                  <c:v>39.360000000000127</c:v>
                </c:pt>
                <c:pt idx="17">
                  <c:v>11.983999999999924</c:v>
                </c:pt>
                <c:pt idx="18">
                  <c:v>63.594000000000051</c:v>
                </c:pt>
                <c:pt idx="20">
                  <c:v>15.4</c:v>
                </c:pt>
                <c:pt idx="21">
                  <c:v>13.718000000000002</c:v>
                </c:pt>
                <c:pt idx="22">
                  <c:v>33.170999999999992</c:v>
                </c:pt>
                <c:pt idx="23">
                  <c:v>181.20300000000003</c:v>
                </c:pt>
                <c:pt idx="24">
                  <c:v>56.110000000000014</c:v>
                </c:pt>
                <c:pt idx="25">
                  <c:v>59.921999999999969</c:v>
                </c:pt>
                <c:pt idx="27">
                  <c:v>78.25</c:v>
                </c:pt>
                <c:pt idx="28">
                  <c:v>32.671999999999571</c:v>
                </c:pt>
                <c:pt idx="29">
                  <c:v>51.891000000000531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B2-4CDE-A874-D1C20742D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564719"/>
        <c:axId val="1400565199"/>
      </c:scatterChart>
      <c:valAx>
        <c:axId val="140056471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400565199"/>
        <c:crosses val="autoZero"/>
        <c:crossBetween val="midCat"/>
      </c:valAx>
      <c:valAx>
        <c:axId val="140056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6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Distribuzione</a:t>
            </a:r>
            <a:r>
              <a:rPr lang="en-US" baseline="0"/>
              <a:t> errori (n = 7, m = 7)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OTT</c:v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Non_guardare_perche_errato!$AH$5:$AH$11</c:f>
              <c:strCache>
                <c:ptCount val="7"/>
                <c:pt idx="0">
                  <c:v>0.00-0.10</c:v>
                </c:pt>
                <c:pt idx="1">
                  <c:v>0.10-0.20</c:v>
                </c:pt>
                <c:pt idx="2">
                  <c:v>0.20-0.30</c:v>
                </c:pt>
                <c:pt idx="3">
                  <c:v>0.30-0.40</c:v>
                </c:pt>
                <c:pt idx="4">
                  <c:v>0.40-0.50</c:v>
                </c:pt>
                <c:pt idx="5">
                  <c:v>0.50-0.60</c:v>
                </c:pt>
                <c:pt idx="6">
                  <c:v>0.60-1.00</c:v>
                </c:pt>
              </c:strCache>
            </c:strRef>
          </c:cat>
          <c:val>
            <c:numRef>
              <c:f>'Risultati buoni'!$Y$63:$Y$69</c:f>
              <c:numCache>
                <c:formatCode>General</c:formatCode>
                <c:ptCount val="7"/>
                <c:pt idx="0">
                  <c:v>0.56666666666666665</c:v>
                </c:pt>
                <c:pt idx="1">
                  <c:v>0.3</c:v>
                </c:pt>
                <c:pt idx="2">
                  <c:v>0.13333333333333333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9-493D-83EE-8C8C52DAB5AD}"/>
            </c:ext>
          </c:extLst>
        </c:ser>
        <c:ser>
          <c:idx val="1"/>
          <c:order val="1"/>
          <c:tx>
            <c:v>LB2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Non_guardare_perche_errato!$AH$5:$AH$11</c:f>
              <c:strCache>
                <c:ptCount val="7"/>
                <c:pt idx="0">
                  <c:v>0.00-0.10</c:v>
                </c:pt>
                <c:pt idx="1">
                  <c:v>0.10-0.20</c:v>
                </c:pt>
                <c:pt idx="2">
                  <c:v>0.20-0.30</c:v>
                </c:pt>
                <c:pt idx="3">
                  <c:v>0.30-0.40</c:v>
                </c:pt>
                <c:pt idx="4">
                  <c:v>0.40-0.50</c:v>
                </c:pt>
                <c:pt idx="5">
                  <c:v>0.50-0.60</c:v>
                </c:pt>
                <c:pt idx="6">
                  <c:v>0.60-1.00</c:v>
                </c:pt>
              </c:strCache>
            </c:strRef>
          </c:cat>
          <c:val>
            <c:numRef>
              <c:f>'Risultati buoni'!$Z$63:$Z$69</c:f>
              <c:numCache>
                <c:formatCode>General</c:formatCode>
                <c:ptCount val="7"/>
                <c:pt idx="0">
                  <c:v>0.16666666666666666</c:v>
                </c:pt>
                <c:pt idx="1">
                  <c:v>0.36666666666666664</c:v>
                </c:pt>
                <c:pt idx="2">
                  <c:v>0.23333333333333334</c:v>
                </c:pt>
                <c:pt idx="3">
                  <c:v>0.2</c:v>
                </c:pt>
                <c:pt idx="4">
                  <c:v>3.3333333333333333E-2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F9-493D-83EE-8C8C52DAB5AD}"/>
            </c:ext>
          </c:extLst>
        </c:ser>
        <c:ser>
          <c:idx val="2"/>
          <c:order val="2"/>
          <c:tx>
            <c:v>LB3</c:v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'Risultati buoni'!$AA$63:$AA$69</c:f>
              <c:numCache>
                <c:formatCode>General</c:formatCode>
                <c:ptCount val="7"/>
                <c:pt idx="0">
                  <c:v>0</c:v>
                </c:pt>
                <c:pt idx="1">
                  <c:v>0.16666666666666666</c:v>
                </c:pt>
                <c:pt idx="2">
                  <c:v>0.1</c:v>
                </c:pt>
                <c:pt idx="3">
                  <c:v>0.4</c:v>
                </c:pt>
                <c:pt idx="4">
                  <c:v>0.26666666666666666</c:v>
                </c:pt>
                <c:pt idx="5">
                  <c:v>0</c:v>
                </c:pt>
                <c:pt idx="6">
                  <c:v>6.6666666666666666E-2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F9-493D-83EE-8C8C52DAB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384207"/>
        <c:axId val="1095383727"/>
      </c:barChart>
      <c:catAx>
        <c:axId val="109538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3727"/>
        <c:crosses val="autoZero"/>
        <c:auto val="1"/>
        <c:lblAlgn val="ctr"/>
        <c:lblOffset val="100"/>
        <c:noMultiLvlLbl val="0"/>
      </c:catAx>
      <c:valAx>
        <c:axId val="109538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Confronto valori assoluti (n = 7, m = 7)</a:t>
            </a:r>
          </a:p>
        </c:rich>
      </c:tx>
      <c:layout>
        <c:manualLayout>
          <c:xMode val="edge"/>
          <c:yMode val="edge"/>
          <c:x val="0.24332237071624285"/>
          <c:y val="3.42633641962148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OTT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'Risultati buoni'!$C$62:$C$91</c:f>
              <c:numCache>
                <c:formatCode>General</c:formatCode>
                <c:ptCount val="30"/>
                <c:pt idx="0">
                  <c:v>155</c:v>
                </c:pt>
                <c:pt idx="1">
                  <c:v>179</c:v>
                </c:pt>
                <c:pt idx="2">
                  <c:v>180</c:v>
                </c:pt>
                <c:pt idx="3">
                  <c:v>164</c:v>
                </c:pt>
                <c:pt idx="4">
                  <c:v>182</c:v>
                </c:pt>
                <c:pt idx="5">
                  <c:v>174</c:v>
                </c:pt>
                <c:pt idx="6">
                  <c:v>177</c:v>
                </c:pt>
                <c:pt idx="7">
                  <c:v>187</c:v>
                </c:pt>
                <c:pt idx="8">
                  <c:v>165</c:v>
                </c:pt>
                <c:pt idx="9">
                  <c:v>170</c:v>
                </c:pt>
                <c:pt idx="10">
                  <c:v>189</c:v>
                </c:pt>
                <c:pt idx="11">
                  <c:v>169</c:v>
                </c:pt>
                <c:pt idx="12">
                  <c:v>173</c:v>
                </c:pt>
                <c:pt idx="13">
                  <c:v>173</c:v>
                </c:pt>
                <c:pt idx="14">
                  <c:v>192</c:v>
                </c:pt>
                <c:pt idx="15">
                  <c:v>183</c:v>
                </c:pt>
                <c:pt idx="16">
                  <c:v>171</c:v>
                </c:pt>
                <c:pt idx="17">
                  <c:v>144</c:v>
                </c:pt>
                <c:pt idx="18">
                  <c:v>165</c:v>
                </c:pt>
                <c:pt idx="19">
                  <c:v>195</c:v>
                </c:pt>
                <c:pt idx="20">
                  <c:v>159</c:v>
                </c:pt>
                <c:pt idx="21">
                  <c:v>142</c:v>
                </c:pt>
                <c:pt idx="22">
                  <c:v>181</c:v>
                </c:pt>
                <c:pt idx="23">
                  <c:v>191</c:v>
                </c:pt>
                <c:pt idx="24">
                  <c:v>154</c:v>
                </c:pt>
                <c:pt idx="25">
                  <c:v>169</c:v>
                </c:pt>
                <c:pt idx="26">
                  <c:v>175</c:v>
                </c:pt>
                <c:pt idx="27">
                  <c:v>196</c:v>
                </c:pt>
                <c:pt idx="28">
                  <c:v>149</c:v>
                </c:pt>
                <c:pt idx="29">
                  <c:v>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AA-4129-A0A1-EEBFAFFB5378}"/>
            </c:ext>
          </c:extLst>
        </c:ser>
        <c:ser>
          <c:idx val="0"/>
          <c:order val="1"/>
          <c:tx>
            <c:v>LB2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yVal>
            <c:numRef>
              <c:f>'Risultati buoni'!$Q$62:$Q$91</c:f>
              <c:numCache>
                <c:formatCode>General</c:formatCode>
                <c:ptCount val="30"/>
                <c:pt idx="0">
                  <c:v>155</c:v>
                </c:pt>
                <c:pt idx="1">
                  <c:v>163</c:v>
                </c:pt>
                <c:pt idx="2">
                  <c:v>167</c:v>
                </c:pt>
                <c:pt idx="3">
                  <c:v>152</c:v>
                </c:pt>
                <c:pt idx="4">
                  <c:v>172</c:v>
                </c:pt>
                <c:pt idx="5">
                  <c:v>154</c:v>
                </c:pt>
                <c:pt idx="6">
                  <c:v>170</c:v>
                </c:pt>
                <c:pt idx="7">
                  <c:v>163</c:v>
                </c:pt>
                <c:pt idx="8">
                  <c:v>145</c:v>
                </c:pt>
                <c:pt idx="9">
                  <c:v>148</c:v>
                </c:pt>
                <c:pt idx="10">
                  <c:v>177</c:v>
                </c:pt>
                <c:pt idx="11">
                  <c:v>156</c:v>
                </c:pt>
                <c:pt idx="12">
                  <c:v>146</c:v>
                </c:pt>
                <c:pt idx="13">
                  <c:v>168</c:v>
                </c:pt>
                <c:pt idx="14">
                  <c:v>171</c:v>
                </c:pt>
                <c:pt idx="15">
                  <c:v>170</c:v>
                </c:pt>
                <c:pt idx="16">
                  <c:v>147</c:v>
                </c:pt>
                <c:pt idx="17">
                  <c:v>136</c:v>
                </c:pt>
                <c:pt idx="18">
                  <c:v>154</c:v>
                </c:pt>
                <c:pt idx="19">
                  <c:v>194</c:v>
                </c:pt>
                <c:pt idx="20">
                  <c:v>144</c:v>
                </c:pt>
                <c:pt idx="21">
                  <c:v>141</c:v>
                </c:pt>
                <c:pt idx="22">
                  <c:v>161</c:v>
                </c:pt>
                <c:pt idx="23">
                  <c:v>169</c:v>
                </c:pt>
                <c:pt idx="24">
                  <c:v>144</c:v>
                </c:pt>
                <c:pt idx="25">
                  <c:v>158</c:v>
                </c:pt>
                <c:pt idx="26">
                  <c:v>170</c:v>
                </c:pt>
                <c:pt idx="27">
                  <c:v>184</c:v>
                </c:pt>
                <c:pt idx="28">
                  <c:v>138</c:v>
                </c:pt>
                <c:pt idx="29">
                  <c:v>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AA-4129-A0A1-EEBFAFFB5378}"/>
            </c:ext>
          </c:extLst>
        </c:ser>
        <c:ser>
          <c:idx val="2"/>
          <c:order val="2"/>
          <c:tx>
            <c:v>UB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'Risultati buoni'!$P$62:$P$91</c:f>
              <c:numCache>
                <c:formatCode>General</c:formatCode>
                <c:ptCount val="30"/>
                <c:pt idx="0">
                  <c:v>168</c:v>
                </c:pt>
                <c:pt idx="1">
                  <c:v>186</c:v>
                </c:pt>
                <c:pt idx="2">
                  <c:v>184</c:v>
                </c:pt>
                <c:pt idx="3">
                  <c:v>173</c:v>
                </c:pt>
                <c:pt idx="4">
                  <c:v>224</c:v>
                </c:pt>
                <c:pt idx="5">
                  <c:v>195</c:v>
                </c:pt>
                <c:pt idx="6">
                  <c:v>198</c:v>
                </c:pt>
                <c:pt idx="7">
                  <c:v>219</c:v>
                </c:pt>
                <c:pt idx="8">
                  <c:v>187</c:v>
                </c:pt>
                <c:pt idx="9">
                  <c:v>188</c:v>
                </c:pt>
                <c:pt idx="10">
                  <c:v>190</c:v>
                </c:pt>
                <c:pt idx="11">
                  <c:v>208</c:v>
                </c:pt>
                <c:pt idx="12">
                  <c:v>201</c:v>
                </c:pt>
                <c:pt idx="13">
                  <c:v>183</c:v>
                </c:pt>
                <c:pt idx="14">
                  <c:v>229</c:v>
                </c:pt>
                <c:pt idx="15">
                  <c:v>193</c:v>
                </c:pt>
                <c:pt idx="16">
                  <c:v>211</c:v>
                </c:pt>
                <c:pt idx="17">
                  <c:v>156</c:v>
                </c:pt>
                <c:pt idx="18">
                  <c:v>180</c:v>
                </c:pt>
                <c:pt idx="19">
                  <c:v>198</c:v>
                </c:pt>
                <c:pt idx="20">
                  <c:v>174</c:v>
                </c:pt>
                <c:pt idx="21">
                  <c:v>152</c:v>
                </c:pt>
                <c:pt idx="22">
                  <c:v>198</c:v>
                </c:pt>
                <c:pt idx="23">
                  <c:v>208</c:v>
                </c:pt>
                <c:pt idx="24">
                  <c:v>169</c:v>
                </c:pt>
                <c:pt idx="25">
                  <c:v>194</c:v>
                </c:pt>
                <c:pt idx="26">
                  <c:v>200</c:v>
                </c:pt>
                <c:pt idx="27">
                  <c:v>209</c:v>
                </c:pt>
                <c:pt idx="28">
                  <c:v>160</c:v>
                </c:pt>
                <c:pt idx="29">
                  <c:v>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AA-4129-A0A1-EEBFAFFB5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Confronto valori</a:t>
            </a:r>
            <a:r>
              <a:rPr lang="en-US" baseline="0"/>
              <a:t> assoluti (n = 12, m = 12)</a:t>
            </a:r>
            <a:endParaRPr lang="en-US"/>
          </a:p>
        </c:rich>
      </c:tx>
      <c:layout>
        <c:manualLayout>
          <c:xMode val="edge"/>
          <c:yMode val="edge"/>
          <c:x val="0.216050199791641"/>
          <c:y val="2.99393927952904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OTT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'Risultati buoni'!$D$4:$D$33</c:f>
              <c:numCache>
                <c:formatCode>General</c:formatCode>
                <c:ptCount val="30"/>
                <c:pt idx="0">
                  <c:v>289</c:v>
                </c:pt>
                <c:pt idx="1">
                  <c:v>292</c:v>
                </c:pt>
                <c:pt idx="2">
                  <c:v>296</c:v>
                </c:pt>
                <c:pt idx="3">
                  <c:v>284</c:v>
                </c:pt>
                <c:pt idx="4">
                  <c:v>309</c:v>
                </c:pt>
                <c:pt idx="5">
                  <c:v>284</c:v>
                </c:pt>
                <c:pt idx="6">
                  <c:v>260</c:v>
                </c:pt>
                <c:pt idx="7">
                  <c:v>294</c:v>
                </c:pt>
                <c:pt idx="8">
                  <c:v>279</c:v>
                </c:pt>
                <c:pt idx="9">
                  <c:v>281</c:v>
                </c:pt>
                <c:pt idx="10">
                  <c:v>281</c:v>
                </c:pt>
                <c:pt idx="11">
                  <c:v>292</c:v>
                </c:pt>
                <c:pt idx="12">
                  <c:v>275</c:v>
                </c:pt>
                <c:pt idx="13">
                  <c:v>288</c:v>
                </c:pt>
                <c:pt idx="14">
                  <c:v>294</c:v>
                </c:pt>
                <c:pt idx="15">
                  <c:v>295</c:v>
                </c:pt>
                <c:pt idx="16">
                  <c:v>298</c:v>
                </c:pt>
                <c:pt idx="17">
                  <c:v>295</c:v>
                </c:pt>
                <c:pt idx="18">
                  <c:v>281</c:v>
                </c:pt>
                <c:pt idx="20">
                  <c:v>309</c:v>
                </c:pt>
                <c:pt idx="21">
                  <c:v>304</c:v>
                </c:pt>
                <c:pt idx="22">
                  <c:v>288</c:v>
                </c:pt>
                <c:pt idx="23">
                  <c:v>307</c:v>
                </c:pt>
                <c:pt idx="24">
                  <c:v>294</c:v>
                </c:pt>
                <c:pt idx="25">
                  <c:v>278</c:v>
                </c:pt>
                <c:pt idx="26">
                  <c:v>296</c:v>
                </c:pt>
                <c:pt idx="28">
                  <c:v>273</c:v>
                </c:pt>
                <c:pt idx="29">
                  <c:v>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AE-436A-93CB-14AA175F9FF9}"/>
            </c:ext>
          </c:extLst>
        </c:ser>
        <c:ser>
          <c:idx val="0"/>
          <c:order val="1"/>
          <c:tx>
            <c:v>LB2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yVal>
            <c:numRef>
              <c:f>'Risultati buoni'!$Q$4:$Q$33</c:f>
              <c:numCache>
                <c:formatCode>General</c:formatCode>
                <c:ptCount val="30"/>
                <c:pt idx="0">
                  <c:v>251</c:v>
                </c:pt>
                <c:pt idx="1">
                  <c:v>265</c:v>
                </c:pt>
                <c:pt idx="2">
                  <c:v>256</c:v>
                </c:pt>
                <c:pt idx="3">
                  <c:v>248</c:v>
                </c:pt>
                <c:pt idx="4">
                  <c:v>278</c:v>
                </c:pt>
                <c:pt idx="5">
                  <c:v>269</c:v>
                </c:pt>
                <c:pt idx="6">
                  <c:v>249</c:v>
                </c:pt>
                <c:pt idx="7">
                  <c:v>263</c:v>
                </c:pt>
                <c:pt idx="8">
                  <c:v>253</c:v>
                </c:pt>
                <c:pt idx="9">
                  <c:v>251</c:v>
                </c:pt>
                <c:pt idx="10">
                  <c:v>253</c:v>
                </c:pt>
                <c:pt idx="11">
                  <c:v>251</c:v>
                </c:pt>
                <c:pt idx="12">
                  <c:v>255</c:v>
                </c:pt>
                <c:pt idx="13">
                  <c:v>253</c:v>
                </c:pt>
                <c:pt idx="14">
                  <c:v>269</c:v>
                </c:pt>
                <c:pt idx="15">
                  <c:v>281</c:v>
                </c:pt>
                <c:pt idx="16">
                  <c:v>264</c:v>
                </c:pt>
                <c:pt idx="17">
                  <c:v>279</c:v>
                </c:pt>
                <c:pt idx="18">
                  <c:v>244</c:v>
                </c:pt>
                <c:pt idx="20">
                  <c:v>306</c:v>
                </c:pt>
                <c:pt idx="21">
                  <c:v>288</c:v>
                </c:pt>
                <c:pt idx="22">
                  <c:v>259</c:v>
                </c:pt>
                <c:pt idx="23">
                  <c:v>296</c:v>
                </c:pt>
                <c:pt idx="24">
                  <c:v>270</c:v>
                </c:pt>
                <c:pt idx="25">
                  <c:v>256</c:v>
                </c:pt>
                <c:pt idx="26">
                  <c:v>265</c:v>
                </c:pt>
                <c:pt idx="28">
                  <c:v>252</c:v>
                </c:pt>
                <c:pt idx="29">
                  <c:v>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AE-436A-93CB-14AA175F9FF9}"/>
            </c:ext>
          </c:extLst>
        </c:ser>
        <c:ser>
          <c:idx val="2"/>
          <c:order val="2"/>
          <c:tx>
            <c:v>UB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'Risultati buoni'!$P$4:$P$33</c:f>
              <c:numCache>
                <c:formatCode>General</c:formatCode>
                <c:ptCount val="30"/>
                <c:pt idx="0">
                  <c:v>365</c:v>
                </c:pt>
                <c:pt idx="1">
                  <c:v>341</c:v>
                </c:pt>
                <c:pt idx="2">
                  <c:v>399</c:v>
                </c:pt>
                <c:pt idx="3">
                  <c:v>381</c:v>
                </c:pt>
                <c:pt idx="4">
                  <c:v>408</c:v>
                </c:pt>
                <c:pt idx="5">
                  <c:v>337</c:v>
                </c:pt>
                <c:pt idx="6">
                  <c:v>301</c:v>
                </c:pt>
                <c:pt idx="7">
                  <c:v>378</c:v>
                </c:pt>
                <c:pt idx="8">
                  <c:v>338</c:v>
                </c:pt>
                <c:pt idx="9">
                  <c:v>350</c:v>
                </c:pt>
                <c:pt idx="10">
                  <c:v>338</c:v>
                </c:pt>
                <c:pt idx="11">
                  <c:v>360</c:v>
                </c:pt>
                <c:pt idx="12">
                  <c:v>324</c:v>
                </c:pt>
                <c:pt idx="13">
                  <c:v>358</c:v>
                </c:pt>
                <c:pt idx="14">
                  <c:v>345</c:v>
                </c:pt>
                <c:pt idx="15">
                  <c:v>363</c:v>
                </c:pt>
                <c:pt idx="16">
                  <c:v>420</c:v>
                </c:pt>
                <c:pt idx="17">
                  <c:v>374</c:v>
                </c:pt>
                <c:pt idx="18">
                  <c:v>335</c:v>
                </c:pt>
                <c:pt idx="20">
                  <c:v>394</c:v>
                </c:pt>
                <c:pt idx="21">
                  <c:v>389</c:v>
                </c:pt>
                <c:pt idx="22">
                  <c:v>353</c:v>
                </c:pt>
                <c:pt idx="23">
                  <c:v>434</c:v>
                </c:pt>
                <c:pt idx="24">
                  <c:v>354</c:v>
                </c:pt>
                <c:pt idx="25">
                  <c:v>333</c:v>
                </c:pt>
                <c:pt idx="26">
                  <c:v>337</c:v>
                </c:pt>
                <c:pt idx="28">
                  <c:v>337</c:v>
                </c:pt>
                <c:pt idx="29">
                  <c:v>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AE-436A-93CB-14AA175F9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Distribuzione</a:t>
            </a:r>
            <a:r>
              <a:rPr lang="en-US" baseline="0"/>
              <a:t> errori (n = 13, m = 13)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OTT</c:v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Non_guardare_perche_errato!$AH$5:$AH$11</c:f>
              <c:strCache>
                <c:ptCount val="7"/>
                <c:pt idx="0">
                  <c:v>0.00-0.10</c:v>
                </c:pt>
                <c:pt idx="1">
                  <c:v>0.10-0.20</c:v>
                </c:pt>
                <c:pt idx="2">
                  <c:v>0.20-0.30</c:v>
                </c:pt>
                <c:pt idx="3">
                  <c:v>0.30-0.40</c:v>
                </c:pt>
                <c:pt idx="4">
                  <c:v>0.40-0.50</c:v>
                </c:pt>
                <c:pt idx="5">
                  <c:v>0.50-0.60</c:v>
                </c:pt>
                <c:pt idx="6">
                  <c:v>0.60-1.00</c:v>
                </c:pt>
              </c:strCache>
            </c:strRef>
          </c:cat>
          <c:val>
            <c:numRef>
              <c:f>'Risultati buoni'!$Y$124:$Y$130</c:f>
              <c:numCache>
                <c:formatCode>General</c:formatCode>
                <c:ptCount val="7"/>
                <c:pt idx="0">
                  <c:v>0</c:v>
                </c:pt>
                <c:pt idx="1">
                  <c:v>0.19230769230769232</c:v>
                </c:pt>
                <c:pt idx="2">
                  <c:v>0.5</c:v>
                </c:pt>
                <c:pt idx="3">
                  <c:v>0.23076923076923078</c:v>
                </c:pt>
                <c:pt idx="4">
                  <c:v>3.8461538461538464E-2</c:v>
                </c:pt>
                <c:pt idx="5">
                  <c:v>3.8461538461538464E-2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7-4896-A821-04E6F8A94C57}"/>
            </c:ext>
          </c:extLst>
        </c:ser>
        <c:ser>
          <c:idx val="1"/>
          <c:order val="1"/>
          <c:tx>
            <c:v>LB2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Non_guardare_perche_errato!$AH$5:$AH$11</c:f>
              <c:strCache>
                <c:ptCount val="7"/>
                <c:pt idx="0">
                  <c:v>0.00-0.10</c:v>
                </c:pt>
                <c:pt idx="1">
                  <c:v>0.10-0.20</c:v>
                </c:pt>
                <c:pt idx="2">
                  <c:v>0.20-0.30</c:v>
                </c:pt>
                <c:pt idx="3">
                  <c:v>0.30-0.40</c:v>
                </c:pt>
                <c:pt idx="4">
                  <c:v>0.40-0.50</c:v>
                </c:pt>
                <c:pt idx="5">
                  <c:v>0.50-0.60</c:v>
                </c:pt>
                <c:pt idx="6">
                  <c:v>0.60-1.00</c:v>
                </c:pt>
              </c:strCache>
            </c:strRef>
          </c:cat>
          <c:val>
            <c:numRef>
              <c:f>'Risultati buoni'!$Z$124:$Z$130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0.19230769230769232</c:v>
                </c:pt>
                <c:pt idx="3">
                  <c:v>0.42307692307692307</c:v>
                </c:pt>
                <c:pt idx="4">
                  <c:v>0.34615384615384615</c:v>
                </c:pt>
                <c:pt idx="5">
                  <c:v>3.8461538461538464E-2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E7-4896-A821-04E6F8A94C57}"/>
            </c:ext>
          </c:extLst>
        </c:ser>
        <c:ser>
          <c:idx val="2"/>
          <c:order val="2"/>
          <c:tx>
            <c:v>LB3</c:v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'Risultati buoni'!$AA$124:$AA$130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3.8461538461538464E-2</c:v>
                </c:pt>
                <c:pt idx="3">
                  <c:v>3.8461538461538464E-2</c:v>
                </c:pt>
                <c:pt idx="4">
                  <c:v>0.23076923076923078</c:v>
                </c:pt>
                <c:pt idx="5">
                  <c:v>0.30769230769230771</c:v>
                </c:pt>
                <c:pt idx="6">
                  <c:v>0.38461538461538464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E7-4896-A821-04E6F8A94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384207"/>
        <c:axId val="1095383727"/>
      </c:barChart>
      <c:catAx>
        <c:axId val="109538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3727"/>
        <c:crosses val="autoZero"/>
        <c:auto val="1"/>
        <c:lblAlgn val="ctr"/>
        <c:lblOffset val="100"/>
        <c:noMultiLvlLbl val="0"/>
      </c:catAx>
      <c:valAx>
        <c:axId val="109538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Confronto valori</a:t>
            </a:r>
            <a:r>
              <a:rPr lang="en-US" baseline="0"/>
              <a:t> assoluti (n = 13, m = 13)</a:t>
            </a:r>
            <a:endParaRPr lang="en-US"/>
          </a:p>
        </c:rich>
      </c:tx>
      <c:layout>
        <c:manualLayout>
          <c:xMode val="edge"/>
          <c:yMode val="edge"/>
          <c:x val="0.23238131899410497"/>
          <c:y val="3.4511857705607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OTT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'Risultati buoni'!$C$123:$C$152</c:f>
              <c:numCache>
                <c:formatCode>General</c:formatCode>
                <c:ptCount val="30"/>
                <c:pt idx="0">
                  <c:v>315</c:v>
                </c:pt>
                <c:pt idx="1">
                  <c:v>323</c:v>
                </c:pt>
                <c:pt idx="2">
                  <c:v>291</c:v>
                </c:pt>
                <c:pt idx="3">
                  <c:v>322</c:v>
                </c:pt>
                <c:pt idx="4">
                  <c:v>291</c:v>
                </c:pt>
                <c:pt idx="5">
                  <c:v>295</c:v>
                </c:pt>
                <c:pt idx="6">
                  <c:v>319</c:v>
                </c:pt>
                <c:pt idx="7">
                  <c:v>302</c:v>
                </c:pt>
                <c:pt idx="8">
                  <c:v>318</c:v>
                </c:pt>
                <c:pt idx="9">
                  <c:v>310</c:v>
                </c:pt>
                <c:pt idx="10">
                  <c:v>308</c:v>
                </c:pt>
                <c:pt idx="11">
                  <c:v>330</c:v>
                </c:pt>
                <c:pt idx="14">
                  <c:v>337</c:v>
                </c:pt>
                <c:pt idx="15">
                  <c:v>286</c:v>
                </c:pt>
                <c:pt idx="16">
                  <c:v>288</c:v>
                </c:pt>
                <c:pt idx="17">
                  <c:v>297</c:v>
                </c:pt>
                <c:pt idx="18">
                  <c:v>321</c:v>
                </c:pt>
                <c:pt idx="20">
                  <c:v>317</c:v>
                </c:pt>
                <c:pt idx="21">
                  <c:v>325</c:v>
                </c:pt>
                <c:pt idx="22">
                  <c:v>318</c:v>
                </c:pt>
                <c:pt idx="23">
                  <c:v>316</c:v>
                </c:pt>
                <c:pt idx="24">
                  <c:v>297</c:v>
                </c:pt>
                <c:pt idx="25">
                  <c:v>309</c:v>
                </c:pt>
                <c:pt idx="27">
                  <c:v>323</c:v>
                </c:pt>
                <c:pt idx="28">
                  <c:v>311</c:v>
                </c:pt>
                <c:pt idx="29">
                  <c:v>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DC-449F-8006-36B517D58C18}"/>
            </c:ext>
          </c:extLst>
        </c:ser>
        <c:ser>
          <c:idx val="0"/>
          <c:order val="1"/>
          <c:tx>
            <c:v>LB2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yVal>
            <c:numRef>
              <c:f>'Risultati buoni'!$Q$123:$Q$152</c:f>
              <c:numCache>
                <c:formatCode>General</c:formatCode>
                <c:ptCount val="30"/>
                <c:pt idx="0">
                  <c:v>270</c:v>
                </c:pt>
                <c:pt idx="1">
                  <c:v>282</c:v>
                </c:pt>
                <c:pt idx="2">
                  <c:v>261</c:v>
                </c:pt>
                <c:pt idx="3">
                  <c:v>280</c:v>
                </c:pt>
                <c:pt idx="4">
                  <c:v>280</c:v>
                </c:pt>
                <c:pt idx="5">
                  <c:v>267</c:v>
                </c:pt>
                <c:pt idx="6">
                  <c:v>306</c:v>
                </c:pt>
                <c:pt idx="7">
                  <c:v>295</c:v>
                </c:pt>
                <c:pt idx="8">
                  <c:v>306</c:v>
                </c:pt>
                <c:pt idx="9">
                  <c:v>291</c:v>
                </c:pt>
                <c:pt idx="10">
                  <c:v>278</c:v>
                </c:pt>
                <c:pt idx="11">
                  <c:v>314</c:v>
                </c:pt>
                <c:pt idx="14">
                  <c:v>298</c:v>
                </c:pt>
                <c:pt idx="15">
                  <c:v>253</c:v>
                </c:pt>
                <c:pt idx="16">
                  <c:v>266</c:v>
                </c:pt>
                <c:pt idx="17">
                  <c:v>275</c:v>
                </c:pt>
                <c:pt idx="18">
                  <c:v>303</c:v>
                </c:pt>
                <c:pt idx="20">
                  <c:v>307</c:v>
                </c:pt>
                <c:pt idx="21">
                  <c:v>319</c:v>
                </c:pt>
                <c:pt idx="22">
                  <c:v>305</c:v>
                </c:pt>
                <c:pt idx="23">
                  <c:v>296</c:v>
                </c:pt>
                <c:pt idx="24">
                  <c:v>286</c:v>
                </c:pt>
                <c:pt idx="25">
                  <c:v>268</c:v>
                </c:pt>
                <c:pt idx="27">
                  <c:v>295</c:v>
                </c:pt>
                <c:pt idx="28">
                  <c:v>286</c:v>
                </c:pt>
                <c:pt idx="29">
                  <c:v>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DC-449F-8006-36B517D58C18}"/>
            </c:ext>
          </c:extLst>
        </c:ser>
        <c:ser>
          <c:idx val="2"/>
          <c:order val="2"/>
          <c:tx>
            <c:v>UB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'Risultati buoni'!$P$123:$P$152</c:f>
              <c:numCache>
                <c:formatCode>General</c:formatCode>
                <c:ptCount val="30"/>
                <c:pt idx="0">
                  <c:v>386</c:v>
                </c:pt>
                <c:pt idx="1">
                  <c:v>414</c:v>
                </c:pt>
                <c:pt idx="2">
                  <c:v>379</c:v>
                </c:pt>
                <c:pt idx="3">
                  <c:v>387</c:v>
                </c:pt>
                <c:pt idx="4">
                  <c:v>382</c:v>
                </c:pt>
                <c:pt idx="5">
                  <c:v>372</c:v>
                </c:pt>
                <c:pt idx="6">
                  <c:v>396</c:v>
                </c:pt>
                <c:pt idx="7">
                  <c:v>391</c:v>
                </c:pt>
                <c:pt idx="8">
                  <c:v>384</c:v>
                </c:pt>
                <c:pt idx="9">
                  <c:v>361</c:v>
                </c:pt>
                <c:pt idx="10">
                  <c:v>412</c:v>
                </c:pt>
                <c:pt idx="11">
                  <c:v>421</c:v>
                </c:pt>
                <c:pt idx="14">
                  <c:v>433</c:v>
                </c:pt>
                <c:pt idx="15">
                  <c:v>346</c:v>
                </c:pt>
                <c:pt idx="16">
                  <c:v>374</c:v>
                </c:pt>
                <c:pt idx="17">
                  <c:v>376</c:v>
                </c:pt>
                <c:pt idx="18">
                  <c:v>432</c:v>
                </c:pt>
                <c:pt idx="20">
                  <c:v>408</c:v>
                </c:pt>
                <c:pt idx="21">
                  <c:v>386</c:v>
                </c:pt>
                <c:pt idx="22">
                  <c:v>431</c:v>
                </c:pt>
                <c:pt idx="23">
                  <c:v>429</c:v>
                </c:pt>
                <c:pt idx="24">
                  <c:v>372</c:v>
                </c:pt>
                <c:pt idx="25">
                  <c:v>414</c:v>
                </c:pt>
                <c:pt idx="27">
                  <c:v>408</c:v>
                </c:pt>
                <c:pt idx="28">
                  <c:v>369</c:v>
                </c:pt>
                <c:pt idx="29">
                  <c:v>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DC-449F-8006-36B517D58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Andamento</a:t>
            </a:r>
            <a:r>
              <a:rPr lang="en-US" baseline="0"/>
              <a:t> Scarti bound con dim istanza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'Risultati buoni'!$B$181</c:f>
              <c:strCache>
                <c:ptCount val="1"/>
                <c:pt idx="0">
                  <c:v>OPT</c:v>
                </c:pt>
              </c:strCache>
            </c:strRef>
          </c:tx>
          <c:spPr>
            <a:ln w="9525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'Risultati buoni'!$A$182:$A$184</c:f>
              <c:strCache>
                <c:ptCount val="3"/>
                <c:pt idx="0">
                  <c:v>7x7</c:v>
                </c:pt>
                <c:pt idx="1">
                  <c:v>12x12</c:v>
                </c:pt>
                <c:pt idx="2">
                  <c:v>13x13</c:v>
                </c:pt>
              </c:strCache>
            </c:strRef>
          </c:cat>
          <c:val>
            <c:numRef>
              <c:f>'Risultati buoni'!$B$182:$B$184</c:f>
              <c:numCache>
                <c:formatCode>General</c:formatCode>
                <c:ptCount val="3"/>
                <c:pt idx="0">
                  <c:v>0.11027205193232725</c:v>
                </c:pt>
                <c:pt idx="1">
                  <c:v>0.24354091820449245</c:v>
                </c:pt>
                <c:pt idx="2">
                  <c:v>0.27374309644401051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B2-453D-BA79-061BF841E0ED}"/>
            </c:ext>
          </c:extLst>
        </c:ser>
        <c:ser>
          <c:idx val="1"/>
          <c:order val="1"/>
          <c:tx>
            <c:strRef>
              <c:f>'Risultati buoni'!$C$181</c:f>
              <c:strCache>
                <c:ptCount val="1"/>
                <c:pt idx="0">
                  <c:v>LB2</c:v>
                </c:pt>
              </c:strCache>
            </c:strRef>
          </c:tx>
          <c:spPr>
            <a:ln w="952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'Risultati buoni'!$A$182:$A$184</c:f>
              <c:strCache>
                <c:ptCount val="3"/>
                <c:pt idx="0">
                  <c:v>7x7</c:v>
                </c:pt>
                <c:pt idx="1">
                  <c:v>12x12</c:v>
                </c:pt>
                <c:pt idx="2">
                  <c:v>13x13</c:v>
                </c:pt>
              </c:strCache>
            </c:strRef>
          </c:cat>
          <c:val>
            <c:numRef>
              <c:f>'Risultati buoni'!$C$182:$C$184</c:f>
              <c:numCache>
                <c:formatCode>General</c:formatCode>
                <c:ptCount val="3"/>
                <c:pt idx="0">
                  <c:v>0.20673585019658247</c:v>
                </c:pt>
                <c:pt idx="1">
                  <c:v>0.36639738467618554</c:v>
                </c:pt>
                <c:pt idx="2">
                  <c:v>0.37379434050537197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B2-453D-BA79-061BF841E0ED}"/>
            </c:ext>
          </c:extLst>
        </c:ser>
        <c:ser>
          <c:idx val="2"/>
          <c:order val="2"/>
          <c:tx>
            <c:strRef>
              <c:f>'Risultati buoni'!$D$181</c:f>
              <c:strCache>
                <c:ptCount val="1"/>
                <c:pt idx="0">
                  <c:v>LB3</c:v>
                </c:pt>
              </c:strCache>
            </c:strRef>
          </c:tx>
          <c:spPr>
            <a:ln w="12700" cap="rnd">
              <a:solidFill>
                <a:schemeClr val="accent2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'Risultati buoni'!$A$182:$A$184</c:f>
              <c:strCache>
                <c:ptCount val="3"/>
                <c:pt idx="0">
                  <c:v>7x7</c:v>
                </c:pt>
                <c:pt idx="1">
                  <c:v>12x12</c:v>
                </c:pt>
                <c:pt idx="2">
                  <c:v>13x13</c:v>
                </c:pt>
              </c:strCache>
            </c:strRef>
          </c:cat>
          <c:val>
            <c:numRef>
              <c:f>'Risultati buoni'!$D$182:$D$184</c:f>
              <c:numCache>
                <c:formatCode>General</c:formatCode>
                <c:ptCount val="3"/>
                <c:pt idx="0">
                  <c:v>0.35185129036196233</c:v>
                </c:pt>
                <c:pt idx="1">
                  <c:v>0.52874865068341148</c:v>
                </c:pt>
                <c:pt idx="2">
                  <c:v>0.56325801428356936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B2-453D-BA79-061BF841E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378256"/>
        <c:axId val="1115378736"/>
      </c:lineChart>
      <c:catAx>
        <c:axId val="111537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8736"/>
        <c:crosses val="autoZero"/>
        <c:auto val="1"/>
        <c:lblAlgn val="ctr"/>
        <c:lblOffset val="100"/>
        <c:noMultiLvlLbl val="0"/>
      </c:catAx>
      <c:valAx>
        <c:axId val="11153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Andamento</a:t>
            </a:r>
            <a:r>
              <a:rPr lang="en-US" baseline="0"/>
              <a:t> Tempi di calcolo con dim istanza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'Risultati buoni'!$B$186</c:f>
              <c:strCache>
                <c:ptCount val="1"/>
                <c:pt idx="0">
                  <c:v>OPT(DM)_TIME</c:v>
                </c:pt>
              </c:strCache>
            </c:strRef>
          </c:tx>
          <c:spPr>
            <a:ln w="9525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'Risultati buoni'!$A$182:$A$184</c:f>
              <c:strCache>
                <c:ptCount val="3"/>
                <c:pt idx="0">
                  <c:v>7x7</c:v>
                </c:pt>
                <c:pt idx="1">
                  <c:v>12x12</c:v>
                </c:pt>
                <c:pt idx="2">
                  <c:v>13x13</c:v>
                </c:pt>
              </c:strCache>
            </c:strRef>
          </c:cat>
          <c:val>
            <c:numRef>
              <c:f>'Risultati buoni'!$B$187:$B$189</c:f>
              <c:numCache>
                <c:formatCode>General</c:formatCode>
                <c:ptCount val="3"/>
                <c:pt idx="0">
                  <c:v>0.10453333333333334</c:v>
                </c:pt>
                <c:pt idx="1">
                  <c:v>12.285142857142858</c:v>
                </c:pt>
                <c:pt idx="2">
                  <c:v>105.50634615384617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E9-4719-8835-783614C57151}"/>
            </c:ext>
          </c:extLst>
        </c:ser>
        <c:ser>
          <c:idx val="1"/>
          <c:order val="1"/>
          <c:tx>
            <c:strRef>
              <c:f>'Risultati buoni'!$C$186</c:f>
              <c:strCache>
                <c:ptCount val="1"/>
                <c:pt idx="0">
                  <c:v>SBH_TIME</c:v>
                </c:pt>
              </c:strCache>
            </c:strRef>
          </c:tx>
          <c:spPr>
            <a:ln w="952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'Risultati buoni'!$A$182:$A$184</c:f>
              <c:strCache>
                <c:ptCount val="3"/>
                <c:pt idx="0">
                  <c:v>7x7</c:v>
                </c:pt>
                <c:pt idx="1">
                  <c:v>12x12</c:v>
                </c:pt>
                <c:pt idx="2">
                  <c:v>13x13</c:v>
                </c:pt>
              </c:strCache>
            </c:strRef>
          </c:cat>
          <c:val>
            <c:numRef>
              <c:f>'Risultati buoni'!$C$187:$C$189</c:f>
              <c:numCache>
                <c:formatCode>General</c:formatCode>
                <c:ptCount val="3"/>
                <c:pt idx="0">
                  <c:v>1.6474</c:v>
                </c:pt>
                <c:pt idx="1">
                  <c:v>10.705928571428574</c:v>
                </c:pt>
                <c:pt idx="2">
                  <c:v>18.257192307692307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E9-4719-8835-783614C57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378256"/>
        <c:axId val="1115378736"/>
      </c:lineChart>
      <c:catAx>
        <c:axId val="111537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8736"/>
        <c:crosses val="autoZero"/>
        <c:auto val="1"/>
        <c:lblAlgn val="ctr"/>
        <c:lblOffset val="100"/>
        <c:noMultiLvlLbl val="0"/>
      </c:catAx>
      <c:valAx>
        <c:axId val="11153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Distribuzione</a:t>
            </a:r>
            <a:r>
              <a:rPr lang="en-US" baseline="0"/>
              <a:t> errori (n = 10, m = 10)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OTT</c:v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Non_guardare_perche_errato!$AH$5:$AH$11</c:f>
              <c:strCache>
                <c:ptCount val="7"/>
                <c:pt idx="0">
                  <c:v>0.00-0.10</c:v>
                </c:pt>
                <c:pt idx="1">
                  <c:v>0.10-0.20</c:v>
                </c:pt>
                <c:pt idx="2">
                  <c:v>0.20-0.30</c:v>
                </c:pt>
                <c:pt idx="3">
                  <c:v>0.30-0.40</c:v>
                </c:pt>
                <c:pt idx="4">
                  <c:v>0.40-0.50</c:v>
                </c:pt>
                <c:pt idx="5">
                  <c:v>0.50-0.60</c:v>
                </c:pt>
                <c:pt idx="6">
                  <c:v>0.60-1.00</c:v>
                </c:pt>
              </c:strCache>
            </c:strRef>
          </c:cat>
          <c:val>
            <c:numRef>
              <c:f>confronta_quadrate!$Y$5:$Y$11</c:f>
              <c:numCache>
                <c:formatCode>General</c:formatCode>
                <c:ptCount val="7"/>
                <c:pt idx="0">
                  <c:v>7.1428571428571425E-2</c:v>
                </c:pt>
                <c:pt idx="1">
                  <c:v>0.5</c:v>
                </c:pt>
                <c:pt idx="2">
                  <c:v>0.32142857142857145</c:v>
                </c:pt>
                <c:pt idx="3">
                  <c:v>0.10714285714285714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8-47D0-8952-CA7ADD161EDC}"/>
            </c:ext>
          </c:extLst>
        </c:ser>
        <c:ser>
          <c:idx val="1"/>
          <c:order val="1"/>
          <c:tx>
            <c:v>LB2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Non_guardare_perche_errato!$AH$5:$AH$11</c:f>
              <c:strCache>
                <c:ptCount val="7"/>
                <c:pt idx="0">
                  <c:v>0.00-0.10</c:v>
                </c:pt>
                <c:pt idx="1">
                  <c:v>0.10-0.20</c:v>
                </c:pt>
                <c:pt idx="2">
                  <c:v>0.20-0.30</c:v>
                </c:pt>
                <c:pt idx="3">
                  <c:v>0.30-0.40</c:v>
                </c:pt>
                <c:pt idx="4">
                  <c:v>0.40-0.50</c:v>
                </c:pt>
                <c:pt idx="5">
                  <c:v>0.50-0.60</c:v>
                </c:pt>
                <c:pt idx="6">
                  <c:v>0.60-1.00</c:v>
                </c:pt>
              </c:strCache>
            </c:strRef>
          </c:cat>
          <c:val>
            <c:numRef>
              <c:f>confronta_quadrate!$Z$5:$Z$11</c:f>
              <c:numCache>
                <c:formatCode>General</c:formatCode>
                <c:ptCount val="7"/>
                <c:pt idx="0">
                  <c:v>0</c:v>
                </c:pt>
                <c:pt idx="1">
                  <c:v>0.14285714285714285</c:v>
                </c:pt>
                <c:pt idx="2">
                  <c:v>0.32142857142857145</c:v>
                </c:pt>
                <c:pt idx="3">
                  <c:v>0.42857142857142855</c:v>
                </c:pt>
                <c:pt idx="4">
                  <c:v>3.5714285714285712E-2</c:v>
                </c:pt>
                <c:pt idx="5">
                  <c:v>3.5714285714285712E-2</c:v>
                </c:pt>
                <c:pt idx="6">
                  <c:v>3.5714285714285712E-2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E8-47D0-8952-CA7ADD161EDC}"/>
            </c:ext>
          </c:extLst>
        </c:ser>
        <c:ser>
          <c:idx val="2"/>
          <c:order val="2"/>
          <c:tx>
            <c:v>LB3</c:v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confronta_quadrate!$AA$5:$AA$11</c:f>
              <c:numCache>
                <c:formatCode>General</c:formatCode>
                <c:ptCount val="7"/>
                <c:pt idx="0">
                  <c:v>0</c:v>
                </c:pt>
                <c:pt idx="1">
                  <c:v>3.5714285714285712E-2</c:v>
                </c:pt>
                <c:pt idx="2">
                  <c:v>7.1428571428571425E-2</c:v>
                </c:pt>
                <c:pt idx="3">
                  <c:v>0.17857142857142858</c:v>
                </c:pt>
                <c:pt idx="4">
                  <c:v>0.35714285714285715</c:v>
                </c:pt>
                <c:pt idx="5">
                  <c:v>0.21428571428571427</c:v>
                </c:pt>
                <c:pt idx="6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E8-47D0-8952-CA7ADD161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384207"/>
        <c:axId val="1095383727"/>
      </c:barChart>
      <c:catAx>
        <c:axId val="109538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3727"/>
        <c:crosses val="autoZero"/>
        <c:auto val="1"/>
        <c:lblAlgn val="ctr"/>
        <c:lblOffset val="100"/>
        <c:noMultiLvlLbl val="0"/>
      </c:catAx>
      <c:valAx>
        <c:axId val="109538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Tempi</a:t>
            </a:r>
            <a:r>
              <a:rPr lang="en-US" baseline="0"/>
              <a:t> di calcolo GUROBI (n = 10, m = 10)</a:t>
            </a:r>
            <a:endParaRPr lang="en-US"/>
          </a:p>
        </c:rich>
      </c:tx>
      <c:layout>
        <c:manualLayout>
          <c:xMode val="edge"/>
          <c:yMode val="edge"/>
          <c:x val="0.15766272901928496"/>
          <c:y val="3.54130941296664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yVal>
            <c:numRef>
              <c:f>confronta_quadrate!$C$4:$C$33</c:f>
              <c:numCache>
                <c:formatCode>General</c:formatCode>
                <c:ptCount val="30"/>
                <c:pt idx="0">
                  <c:v>1.0469999999999999</c:v>
                </c:pt>
                <c:pt idx="1">
                  <c:v>1.8430000000000002</c:v>
                </c:pt>
                <c:pt idx="2">
                  <c:v>1.016</c:v>
                </c:pt>
                <c:pt idx="3">
                  <c:v>3.3749999999999996</c:v>
                </c:pt>
                <c:pt idx="4">
                  <c:v>1.2969999999999997</c:v>
                </c:pt>
                <c:pt idx="5">
                  <c:v>1.4530000000000012</c:v>
                </c:pt>
                <c:pt idx="6">
                  <c:v>1.157</c:v>
                </c:pt>
                <c:pt idx="7">
                  <c:v>0.75</c:v>
                </c:pt>
                <c:pt idx="8">
                  <c:v>0.89100000000000001</c:v>
                </c:pt>
                <c:pt idx="9">
                  <c:v>1.2349999999999994</c:v>
                </c:pt>
                <c:pt idx="10">
                  <c:v>2.25</c:v>
                </c:pt>
                <c:pt idx="11">
                  <c:v>1.7339999999999982</c:v>
                </c:pt>
                <c:pt idx="12">
                  <c:v>1.1720000000000006</c:v>
                </c:pt>
                <c:pt idx="13">
                  <c:v>3.8599999999999994</c:v>
                </c:pt>
                <c:pt idx="14">
                  <c:v>2.9840000000000018</c:v>
                </c:pt>
                <c:pt idx="15">
                  <c:v>1.125</c:v>
                </c:pt>
                <c:pt idx="16">
                  <c:v>3.7029999999999994</c:v>
                </c:pt>
                <c:pt idx="17">
                  <c:v>1.0779999999999994</c:v>
                </c:pt>
                <c:pt idx="18">
                  <c:v>1.5470000000000041</c:v>
                </c:pt>
                <c:pt idx="20">
                  <c:v>1.7659999999999982</c:v>
                </c:pt>
                <c:pt idx="21">
                  <c:v>5.4529999999999959</c:v>
                </c:pt>
                <c:pt idx="22">
                  <c:v>3.0160000000000053</c:v>
                </c:pt>
                <c:pt idx="23">
                  <c:v>8.7659999999999982</c:v>
                </c:pt>
                <c:pt idx="24">
                  <c:v>1.5929999999999964</c:v>
                </c:pt>
                <c:pt idx="25">
                  <c:v>1.75</c:v>
                </c:pt>
                <c:pt idx="26">
                  <c:v>1.5460000000000065</c:v>
                </c:pt>
                <c:pt idx="28">
                  <c:v>2.4690000000000012</c:v>
                </c:pt>
                <c:pt idx="29">
                  <c:v>1.7189999999999941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BE-435B-8146-B0F9B7074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564719"/>
        <c:axId val="1400565199"/>
      </c:scatterChart>
      <c:valAx>
        <c:axId val="140056471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400565199"/>
        <c:crosses val="autoZero"/>
        <c:crossBetween val="midCat"/>
      </c:valAx>
      <c:valAx>
        <c:axId val="140056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6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Tempi</a:t>
            </a:r>
            <a:r>
              <a:rPr lang="en-US" baseline="0"/>
              <a:t> di calcolo SHBT (n = 10, m = 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yVal>
            <c:numRef>
              <c:f>confronta_quadrate!$O$4:$O$33</c:f>
              <c:numCache>
                <c:formatCode>General</c:formatCode>
                <c:ptCount val="30"/>
                <c:pt idx="0">
                  <c:v>4.4530000000000003</c:v>
                </c:pt>
                <c:pt idx="1">
                  <c:v>3.6399999999999997</c:v>
                </c:pt>
                <c:pt idx="2">
                  <c:v>3.516</c:v>
                </c:pt>
                <c:pt idx="3">
                  <c:v>3.641</c:v>
                </c:pt>
                <c:pt idx="4">
                  <c:v>3.5459999999999994</c:v>
                </c:pt>
                <c:pt idx="5">
                  <c:v>3.6099999999999994</c:v>
                </c:pt>
                <c:pt idx="6">
                  <c:v>4.703000000000003</c:v>
                </c:pt>
                <c:pt idx="7">
                  <c:v>7.0159999999999982</c:v>
                </c:pt>
                <c:pt idx="8">
                  <c:v>6.5619999999999976</c:v>
                </c:pt>
                <c:pt idx="9">
                  <c:v>5.4060000000000059</c:v>
                </c:pt>
                <c:pt idx="10">
                  <c:v>6.0939999999999941</c:v>
                </c:pt>
                <c:pt idx="11">
                  <c:v>6.1410000000000053</c:v>
                </c:pt>
                <c:pt idx="12">
                  <c:v>6.4839999999999947</c:v>
                </c:pt>
                <c:pt idx="13">
                  <c:v>6.671999999999997</c:v>
                </c:pt>
                <c:pt idx="14">
                  <c:v>6.625</c:v>
                </c:pt>
                <c:pt idx="15">
                  <c:v>6.0310000000000059</c:v>
                </c:pt>
                <c:pt idx="16">
                  <c:v>5.9689999999999941</c:v>
                </c:pt>
                <c:pt idx="17">
                  <c:v>6.75</c:v>
                </c:pt>
                <c:pt idx="18">
                  <c:v>6.5940000000000083</c:v>
                </c:pt>
                <c:pt idx="20">
                  <c:v>6.1409999999999911</c:v>
                </c:pt>
                <c:pt idx="21">
                  <c:v>6.3590000000000089</c:v>
                </c:pt>
                <c:pt idx="22">
                  <c:v>6.6719999999999828</c:v>
                </c:pt>
                <c:pt idx="23">
                  <c:v>6.2350000000000136</c:v>
                </c:pt>
                <c:pt idx="24">
                  <c:v>6.3119999999999834</c:v>
                </c:pt>
                <c:pt idx="25">
                  <c:v>6.3130000000000166</c:v>
                </c:pt>
                <c:pt idx="26">
                  <c:v>6.4060000000000059</c:v>
                </c:pt>
                <c:pt idx="28">
                  <c:v>7</c:v>
                </c:pt>
                <c:pt idx="29">
                  <c:v>6.7809999999999775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95-46E4-9A11-FAC5CA638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Tempi</a:t>
            </a:r>
            <a:r>
              <a:rPr lang="en-US" baseline="0"/>
              <a:t> di calcolo SHBT (n = 7 , m =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yVal>
            <c:numRef>
              <c:f>Non_guardare_perche_errato!$U$117:$U$146</c:f>
              <c:numCache>
                <c:formatCode>General</c:formatCode>
                <c:ptCount val="30"/>
                <c:pt idx="0">
                  <c:v>1.141</c:v>
                </c:pt>
                <c:pt idx="1">
                  <c:v>1.4060000000000001</c:v>
                </c:pt>
                <c:pt idx="2">
                  <c:v>1.5470000000000002</c:v>
                </c:pt>
                <c:pt idx="3">
                  <c:v>1.734</c:v>
                </c:pt>
                <c:pt idx="4">
                  <c:v>1.7809999999999997</c:v>
                </c:pt>
                <c:pt idx="5">
                  <c:v>1.657</c:v>
                </c:pt>
                <c:pt idx="6">
                  <c:v>1.6709999999999994</c:v>
                </c:pt>
                <c:pt idx="7">
                  <c:v>1.7040000000000006</c:v>
                </c:pt>
                <c:pt idx="8">
                  <c:v>1.7029999999999994</c:v>
                </c:pt>
                <c:pt idx="9">
                  <c:v>1.625</c:v>
                </c:pt>
                <c:pt idx="10">
                  <c:v>1.6719999999999988</c:v>
                </c:pt>
                <c:pt idx="11">
                  <c:v>1.6710000000000029</c:v>
                </c:pt>
                <c:pt idx="12">
                  <c:v>1.6409999999999982</c:v>
                </c:pt>
                <c:pt idx="13">
                  <c:v>1.7970000000000006</c:v>
                </c:pt>
                <c:pt idx="14">
                  <c:v>1.7029999999999994</c:v>
                </c:pt>
                <c:pt idx="15">
                  <c:v>1.6410000000000018</c:v>
                </c:pt>
                <c:pt idx="16">
                  <c:v>1.6400000000000006</c:v>
                </c:pt>
                <c:pt idx="17">
                  <c:v>1.6879999999999988</c:v>
                </c:pt>
                <c:pt idx="18">
                  <c:v>1.6089999999999982</c:v>
                </c:pt>
                <c:pt idx="19">
                  <c:v>1.6720000000000041</c:v>
                </c:pt>
                <c:pt idx="20">
                  <c:v>1.671999999999997</c:v>
                </c:pt>
                <c:pt idx="21">
                  <c:v>1.6409999999999982</c:v>
                </c:pt>
                <c:pt idx="22">
                  <c:v>1.6870000000000047</c:v>
                </c:pt>
                <c:pt idx="23">
                  <c:v>1.671999999999997</c:v>
                </c:pt>
                <c:pt idx="24">
                  <c:v>1.6409999999999982</c:v>
                </c:pt>
                <c:pt idx="25">
                  <c:v>1.6709999999999994</c:v>
                </c:pt>
                <c:pt idx="26">
                  <c:v>1.7190000000000012</c:v>
                </c:pt>
                <c:pt idx="27">
                  <c:v>1.6559999999999988</c:v>
                </c:pt>
                <c:pt idx="28">
                  <c:v>1.6720000000000041</c:v>
                </c:pt>
                <c:pt idx="29">
                  <c:v>1.6879999999999953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12-482B-89DA-E7016ED59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Tempi</a:t>
            </a:r>
            <a:r>
              <a:rPr lang="en-US" baseline="0"/>
              <a:t> di calcolo GUROBI (n = 7, m = 7)</a:t>
            </a:r>
            <a:endParaRPr lang="en-US"/>
          </a:p>
        </c:rich>
      </c:tx>
      <c:layout>
        <c:manualLayout>
          <c:xMode val="edge"/>
          <c:yMode val="edge"/>
          <c:x val="0.23796868627618167"/>
          <c:y val="2.65656245046174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yVal>
            <c:numRef>
              <c:f>Non_guardare_perche_errato!$D$117:$D$146</c:f>
              <c:numCache>
                <c:formatCode>General</c:formatCode>
                <c:ptCount val="30"/>
                <c:pt idx="0">
                  <c:v>9.2999999999999999E-2</c:v>
                </c:pt>
                <c:pt idx="1">
                  <c:v>6.2E-2</c:v>
                </c:pt>
                <c:pt idx="2">
                  <c:v>0.156</c:v>
                </c:pt>
                <c:pt idx="3">
                  <c:v>6.2E-2</c:v>
                </c:pt>
                <c:pt idx="4">
                  <c:v>4.6999999999999986E-2</c:v>
                </c:pt>
                <c:pt idx="5">
                  <c:v>6.2E-2</c:v>
                </c:pt>
                <c:pt idx="6">
                  <c:v>6.2000000000000055E-2</c:v>
                </c:pt>
                <c:pt idx="7">
                  <c:v>0.15599999999999992</c:v>
                </c:pt>
                <c:pt idx="8">
                  <c:v>0.125</c:v>
                </c:pt>
                <c:pt idx="9">
                  <c:v>0.125</c:v>
                </c:pt>
                <c:pt idx="10">
                  <c:v>9.4000000000000083E-2</c:v>
                </c:pt>
                <c:pt idx="11">
                  <c:v>0.18700000000000006</c:v>
                </c:pt>
                <c:pt idx="12">
                  <c:v>0.1399999999999999</c:v>
                </c:pt>
                <c:pt idx="13">
                  <c:v>0.10899999999999999</c:v>
                </c:pt>
                <c:pt idx="14">
                  <c:v>0.18700000000000006</c:v>
                </c:pt>
                <c:pt idx="15">
                  <c:v>4.6999999999999931E-2</c:v>
                </c:pt>
                <c:pt idx="16">
                  <c:v>0.20300000000000007</c:v>
                </c:pt>
                <c:pt idx="17">
                  <c:v>6.2999999999999945E-2</c:v>
                </c:pt>
                <c:pt idx="18">
                  <c:v>6.3000000000000167E-2</c:v>
                </c:pt>
                <c:pt idx="19">
                  <c:v>0.17199999999999971</c:v>
                </c:pt>
                <c:pt idx="20">
                  <c:v>4.7000000000000153E-2</c:v>
                </c:pt>
                <c:pt idx="21">
                  <c:v>7.7999999999999847E-2</c:v>
                </c:pt>
                <c:pt idx="22">
                  <c:v>6.3000000000000167E-2</c:v>
                </c:pt>
                <c:pt idx="23">
                  <c:v>0.10899999999999999</c:v>
                </c:pt>
                <c:pt idx="24">
                  <c:v>7.7999999999999847E-2</c:v>
                </c:pt>
                <c:pt idx="25">
                  <c:v>4.7000000000000153E-2</c:v>
                </c:pt>
                <c:pt idx="26">
                  <c:v>6.3000000000000167E-2</c:v>
                </c:pt>
                <c:pt idx="27">
                  <c:v>0.26499999999999968</c:v>
                </c:pt>
                <c:pt idx="28">
                  <c:v>6.2000000000000277E-2</c:v>
                </c:pt>
                <c:pt idx="29">
                  <c:v>0.10899999999999999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21-438C-811A-1C126A355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564719"/>
        <c:axId val="1400565199"/>
      </c:scatterChart>
      <c:valAx>
        <c:axId val="140056471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400565199"/>
        <c:crosses val="autoZero"/>
        <c:crossBetween val="midCat"/>
      </c:valAx>
      <c:valAx>
        <c:axId val="140056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6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Tempi</a:t>
            </a:r>
            <a:r>
              <a:rPr lang="en-US" baseline="0"/>
              <a:t> di calcolo SHBT (n = 13, m = 13)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yVal>
            <c:numRef>
              <c:f>confronta_quadrate!$O$123:$O$152</c:f>
              <c:numCache>
                <c:formatCode>General</c:formatCode>
                <c:ptCount val="30"/>
                <c:pt idx="0">
                  <c:v>21.109000000000002</c:v>
                </c:pt>
                <c:pt idx="1">
                  <c:v>27.75</c:v>
                </c:pt>
                <c:pt idx="2">
                  <c:v>22.937999999999995</c:v>
                </c:pt>
                <c:pt idx="3">
                  <c:v>27.296999999999997</c:v>
                </c:pt>
                <c:pt idx="4">
                  <c:v>10.843</c:v>
                </c:pt>
                <c:pt idx="5">
                  <c:v>11.141000000000002</c:v>
                </c:pt>
                <c:pt idx="6">
                  <c:v>17.796999999999997</c:v>
                </c:pt>
                <c:pt idx="7">
                  <c:v>22.359000000000002</c:v>
                </c:pt>
                <c:pt idx="8">
                  <c:v>18.766000000000005</c:v>
                </c:pt>
                <c:pt idx="9">
                  <c:v>16.765000000000001</c:v>
                </c:pt>
                <c:pt idx="10">
                  <c:v>15.812999999999988</c:v>
                </c:pt>
                <c:pt idx="11">
                  <c:v>18.250000000000014</c:v>
                </c:pt>
                <c:pt idx="14">
                  <c:v>19.578000000000003</c:v>
                </c:pt>
                <c:pt idx="15">
                  <c:v>20.014999999999986</c:v>
                </c:pt>
                <c:pt idx="16">
                  <c:v>18.921999999999997</c:v>
                </c:pt>
                <c:pt idx="17">
                  <c:v>19.875</c:v>
                </c:pt>
                <c:pt idx="18">
                  <c:v>19.578000000000031</c:v>
                </c:pt>
                <c:pt idx="20">
                  <c:v>15</c:v>
                </c:pt>
                <c:pt idx="21">
                  <c:v>14.438000000000002</c:v>
                </c:pt>
                <c:pt idx="22">
                  <c:v>17.218999999999994</c:v>
                </c:pt>
                <c:pt idx="23">
                  <c:v>15.843000000000004</c:v>
                </c:pt>
                <c:pt idx="24">
                  <c:v>16.156999999999996</c:v>
                </c:pt>
                <c:pt idx="25">
                  <c:v>17.436999999999998</c:v>
                </c:pt>
                <c:pt idx="27">
                  <c:v>15.921999999999997</c:v>
                </c:pt>
                <c:pt idx="28">
                  <c:v>16.578000000000003</c:v>
                </c:pt>
                <c:pt idx="29">
                  <c:v>17.296999999999997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5D-4ED4-8E1B-C9DCD12FE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Tempi</a:t>
            </a:r>
            <a:r>
              <a:rPr lang="en-US" baseline="0"/>
              <a:t> di calcolo GUROBI (n = 13, m = 13)</a:t>
            </a:r>
            <a:endParaRPr lang="en-US"/>
          </a:p>
        </c:rich>
      </c:tx>
      <c:layout>
        <c:manualLayout>
          <c:xMode val="edge"/>
          <c:yMode val="edge"/>
          <c:x val="0.19198543620969849"/>
          <c:y val="3.0870543984482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yVal>
            <c:numRef>
              <c:f>confronta_quadrate!$D$123:$D$152</c:f>
              <c:numCache>
                <c:formatCode>General</c:formatCode>
                <c:ptCount val="30"/>
                <c:pt idx="0">
                  <c:v>271.04599999999999</c:v>
                </c:pt>
                <c:pt idx="1">
                  <c:v>18.656000000000006</c:v>
                </c:pt>
                <c:pt idx="2">
                  <c:v>16.593000000000018</c:v>
                </c:pt>
                <c:pt idx="3">
                  <c:v>26.452999999999975</c:v>
                </c:pt>
                <c:pt idx="4">
                  <c:v>728.59400000000005</c:v>
                </c:pt>
                <c:pt idx="5">
                  <c:v>8.8899999999998727</c:v>
                </c:pt>
                <c:pt idx="6">
                  <c:v>127.54700000000003</c:v>
                </c:pt>
                <c:pt idx="7">
                  <c:v>17</c:v>
                </c:pt>
                <c:pt idx="8">
                  <c:v>475.3130000000001</c:v>
                </c:pt>
                <c:pt idx="9">
                  <c:v>19.219000000000051</c:v>
                </c:pt>
                <c:pt idx="10">
                  <c:v>9.6879999999998745</c:v>
                </c:pt>
                <c:pt idx="11">
                  <c:v>58.094000000000051</c:v>
                </c:pt>
                <c:pt idx="14">
                  <c:v>109.79700000000003</c:v>
                </c:pt>
                <c:pt idx="15">
                  <c:v>219</c:v>
                </c:pt>
                <c:pt idx="16">
                  <c:v>39.360000000000127</c:v>
                </c:pt>
                <c:pt idx="17">
                  <c:v>11.983999999999924</c:v>
                </c:pt>
                <c:pt idx="18">
                  <c:v>63.594000000000051</c:v>
                </c:pt>
                <c:pt idx="20">
                  <c:v>15.4</c:v>
                </c:pt>
                <c:pt idx="21">
                  <c:v>13.718000000000002</c:v>
                </c:pt>
                <c:pt idx="22">
                  <c:v>33.170999999999992</c:v>
                </c:pt>
                <c:pt idx="23">
                  <c:v>181.20300000000003</c:v>
                </c:pt>
                <c:pt idx="24">
                  <c:v>56.110000000000014</c:v>
                </c:pt>
                <c:pt idx="25">
                  <c:v>59.921999999999969</c:v>
                </c:pt>
                <c:pt idx="27">
                  <c:v>78.25</c:v>
                </c:pt>
                <c:pt idx="28">
                  <c:v>32.671999999999571</c:v>
                </c:pt>
                <c:pt idx="29">
                  <c:v>51.891000000000531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D7-477B-A43C-25015A0A8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564719"/>
        <c:axId val="1400565199"/>
      </c:scatterChart>
      <c:valAx>
        <c:axId val="140056471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400565199"/>
        <c:crosses val="autoZero"/>
        <c:crossBetween val="midCat"/>
      </c:valAx>
      <c:valAx>
        <c:axId val="140056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6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Distribuzione</a:t>
            </a:r>
            <a:r>
              <a:rPr lang="en-US" baseline="0"/>
              <a:t> errori (n = 7, m = 7)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OTT</c:v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Non_guardare_perche_errato!$AH$5:$AH$11</c:f>
              <c:strCache>
                <c:ptCount val="7"/>
                <c:pt idx="0">
                  <c:v>0.00-0.10</c:v>
                </c:pt>
                <c:pt idx="1">
                  <c:v>0.10-0.20</c:v>
                </c:pt>
                <c:pt idx="2">
                  <c:v>0.20-0.30</c:v>
                </c:pt>
                <c:pt idx="3">
                  <c:v>0.30-0.40</c:v>
                </c:pt>
                <c:pt idx="4">
                  <c:v>0.40-0.50</c:v>
                </c:pt>
                <c:pt idx="5">
                  <c:v>0.50-0.60</c:v>
                </c:pt>
                <c:pt idx="6">
                  <c:v>0.60-1.00</c:v>
                </c:pt>
              </c:strCache>
            </c:strRef>
          </c:cat>
          <c:val>
            <c:numRef>
              <c:f>confronta_quadrate!$Y$63:$Y$69</c:f>
              <c:numCache>
                <c:formatCode>General</c:formatCode>
                <c:ptCount val="7"/>
                <c:pt idx="0">
                  <c:v>0.56666666666666665</c:v>
                </c:pt>
                <c:pt idx="1">
                  <c:v>0.3</c:v>
                </c:pt>
                <c:pt idx="2">
                  <c:v>0.13333333333333333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B6-413C-BED9-B47EFA64BC87}"/>
            </c:ext>
          </c:extLst>
        </c:ser>
        <c:ser>
          <c:idx val="1"/>
          <c:order val="1"/>
          <c:tx>
            <c:v>LB2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Non_guardare_perche_errato!$AH$5:$AH$11</c:f>
              <c:strCache>
                <c:ptCount val="7"/>
                <c:pt idx="0">
                  <c:v>0.00-0.10</c:v>
                </c:pt>
                <c:pt idx="1">
                  <c:v>0.10-0.20</c:v>
                </c:pt>
                <c:pt idx="2">
                  <c:v>0.20-0.30</c:v>
                </c:pt>
                <c:pt idx="3">
                  <c:v>0.30-0.40</c:v>
                </c:pt>
                <c:pt idx="4">
                  <c:v>0.40-0.50</c:v>
                </c:pt>
                <c:pt idx="5">
                  <c:v>0.50-0.60</c:v>
                </c:pt>
                <c:pt idx="6">
                  <c:v>0.60-1.00</c:v>
                </c:pt>
              </c:strCache>
            </c:strRef>
          </c:cat>
          <c:val>
            <c:numRef>
              <c:f>confronta_quadrate!$Z$63:$Z$69</c:f>
              <c:numCache>
                <c:formatCode>General</c:formatCode>
                <c:ptCount val="7"/>
                <c:pt idx="0">
                  <c:v>0.16666666666666666</c:v>
                </c:pt>
                <c:pt idx="1">
                  <c:v>0.36666666666666664</c:v>
                </c:pt>
                <c:pt idx="2">
                  <c:v>0.23333333333333334</c:v>
                </c:pt>
                <c:pt idx="3">
                  <c:v>0.2</c:v>
                </c:pt>
                <c:pt idx="4">
                  <c:v>3.3333333333333333E-2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B6-413C-BED9-B47EFA64BC87}"/>
            </c:ext>
          </c:extLst>
        </c:ser>
        <c:ser>
          <c:idx val="2"/>
          <c:order val="2"/>
          <c:tx>
            <c:v>LB3</c:v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confronta_quadrate!$AA$63:$AA$69</c:f>
              <c:numCache>
                <c:formatCode>General</c:formatCode>
                <c:ptCount val="7"/>
                <c:pt idx="0">
                  <c:v>0</c:v>
                </c:pt>
                <c:pt idx="1">
                  <c:v>0.16666666666666666</c:v>
                </c:pt>
                <c:pt idx="2">
                  <c:v>0.1</c:v>
                </c:pt>
                <c:pt idx="3">
                  <c:v>0.4</c:v>
                </c:pt>
                <c:pt idx="4">
                  <c:v>0.26666666666666666</c:v>
                </c:pt>
                <c:pt idx="5">
                  <c:v>0</c:v>
                </c:pt>
                <c:pt idx="6">
                  <c:v>6.6666666666666666E-2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B6-413C-BED9-B47EFA64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384207"/>
        <c:axId val="1095383727"/>
      </c:barChart>
      <c:catAx>
        <c:axId val="109538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3727"/>
        <c:crosses val="autoZero"/>
        <c:auto val="1"/>
        <c:lblAlgn val="ctr"/>
        <c:lblOffset val="100"/>
        <c:noMultiLvlLbl val="0"/>
      </c:catAx>
      <c:valAx>
        <c:axId val="109538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Confronto valori assoluti (n = 7, m = 7)</a:t>
            </a:r>
          </a:p>
        </c:rich>
      </c:tx>
      <c:layout>
        <c:manualLayout>
          <c:xMode val="edge"/>
          <c:yMode val="edge"/>
          <c:x val="0.24332237071624285"/>
          <c:y val="3.42633641962148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OTT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confronta_quadrate!$C$62:$C$91</c:f>
              <c:numCache>
                <c:formatCode>General</c:formatCode>
                <c:ptCount val="30"/>
                <c:pt idx="0">
                  <c:v>155</c:v>
                </c:pt>
                <c:pt idx="1">
                  <c:v>179</c:v>
                </c:pt>
                <c:pt idx="2">
                  <c:v>180</c:v>
                </c:pt>
                <c:pt idx="3">
                  <c:v>164</c:v>
                </c:pt>
                <c:pt idx="4">
                  <c:v>182</c:v>
                </c:pt>
                <c:pt idx="5">
                  <c:v>174</c:v>
                </c:pt>
                <c:pt idx="6">
                  <c:v>177</c:v>
                </c:pt>
                <c:pt idx="7">
                  <c:v>187</c:v>
                </c:pt>
                <c:pt idx="8">
                  <c:v>165</c:v>
                </c:pt>
                <c:pt idx="9">
                  <c:v>170</c:v>
                </c:pt>
                <c:pt idx="10">
                  <c:v>189</c:v>
                </c:pt>
                <c:pt idx="11">
                  <c:v>169</c:v>
                </c:pt>
                <c:pt idx="12">
                  <c:v>173</c:v>
                </c:pt>
                <c:pt idx="13">
                  <c:v>173</c:v>
                </c:pt>
                <c:pt idx="14">
                  <c:v>192</c:v>
                </c:pt>
                <c:pt idx="15">
                  <c:v>183</c:v>
                </c:pt>
                <c:pt idx="16">
                  <c:v>171</c:v>
                </c:pt>
                <c:pt idx="17">
                  <c:v>144</c:v>
                </c:pt>
                <c:pt idx="18">
                  <c:v>165</c:v>
                </c:pt>
                <c:pt idx="19">
                  <c:v>195</c:v>
                </c:pt>
                <c:pt idx="20">
                  <c:v>159</c:v>
                </c:pt>
                <c:pt idx="21">
                  <c:v>142</c:v>
                </c:pt>
                <c:pt idx="22">
                  <c:v>181</c:v>
                </c:pt>
                <c:pt idx="23">
                  <c:v>191</c:v>
                </c:pt>
                <c:pt idx="24">
                  <c:v>154</c:v>
                </c:pt>
                <c:pt idx="25">
                  <c:v>169</c:v>
                </c:pt>
                <c:pt idx="26">
                  <c:v>175</c:v>
                </c:pt>
                <c:pt idx="27">
                  <c:v>196</c:v>
                </c:pt>
                <c:pt idx="28">
                  <c:v>149</c:v>
                </c:pt>
                <c:pt idx="29">
                  <c:v>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52-4AC0-BD13-529F4780E033}"/>
            </c:ext>
          </c:extLst>
        </c:ser>
        <c:ser>
          <c:idx val="0"/>
          <c:order val="1"/>
          <c:tx>
            <c:v>LB2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yVal>
            <c:numRef>
              <c:f>confronta_quadrate!$Q$62:$Q$91</c:f>
              <c:numCache>
                <c:formatCode>General</c:formatCode>
                <c:ptCount val="30"/>
                <c:pt idx="0">
                  <c:v>155</c:v>
                </c:pt>
                <c:pt idx="1">
                  <c:v>163</c:v>
                </c:pt>
                <c:pt idx="2">
                  <c:v>167</c:v>
                </c:pt>
                <c:pt idx="3">
                  <c:v>152</c:v>
                </c:pt>
                <c:pt idx="4">
                  <c:v>172</c:v>
                </c:pt>
                <c:pt idx="5">
                  <c:v>154</c:v>
                </c:pt>
                <c:pt idx="6">
                  <c:v>170</c:v>
                </c:pt>
                <c:pt idx="7">
                  <c:v>163</c:v>
                </c:pt>
                <c:pt idx="8">
                  <c:v>145</c:v>
                </c:pt>
                <c:pt idx="9">
                  <c:v>148</c:v>
                </c:pt>
                <c:pt idx="10">
                  <c:v>177</c:v>
                </c:pt>
                <c:pt idx="11">
                  <c:v>156</c:v>
                </c:pt>
                <c:pt idx="12">
                  <c:v>146</c:v>
                </c:pt>
                <c:pt idx="13">
                  <c:v>168</c:v>
                </c:pt>
                <c:pt idx="14">
                  <c:v>171</c:v>
                </c:pt>
                <c:pt idx="15">
                  <c:v>170</c:v>
                </c:pt>
                <c:pt idx="16">
                  <c:v>147</c:v>
                </c:pt>
                <c:pt idx="17">
                  <c:v>136</c:v>
                </c:pt>
                <c:pt idx="18">
                  <c:v>154</c:v>
                </c:pt>
                <c:pt idx="19">
                  <c:v>194</c:v>
                </c:pt>
                <c:pt idx="20">
                  <c:v>144</c:v>
                </c:pt>
                <c:pt idx="21">
                  <c:v>141</c:v>
                </c:pt>
                <c:pt idx="22">
                  <c:v>161</c:v>
                </c:pt>
                <c:pt idx="23">
                  <c:v>169</c:v>
                </c:pt>
                <c:pt idx="24">
                  <c:v>144</c:v>
                </c:pt>
                <c:pt idx="25">
                  <c:v>158</c:v>
                </c:pt>
                <c:pt idx="26">
                  <c:v>170</c:v>
                </c:pt>
                <c:pt idx="27">
                  <c:v>184</c:v>
                </c:pt>
                <c:pt idx="28">
                  <c:v>138</c:v>
                </c:pt>
                <c:pt idx="29">
                  <c:v>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52-4AC0-BD13-529F4780E033}"/>
            </c:ext>
          </c:extLst>
        </c:ser>
        <c:ser>
          <c:idx val="2"/>
          <c:order val="2"/>
          <c:tx>
            <c:v>UB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confronta_quadrate!$P$62:$P$91</c:f>
              <c:numCache>
                <c:formatCode>General</c:formatCode>
                <c:ptCount val="30"/>
                <c:pt idx="0">
                  <c:v>168</c:v>
                </c:pt>
                <c:pt idx="1">
                  <c:v>186</c:v>
                </c:pt>
                <c:pt idx="2">
                  <c:v>184</c:v>
                </c:pt>
                <c:pt idx="3">
                  <c:v>173</c:v>
                </c:pt>
                <c:pt idx="4">
                  <c:v>224</c:v>
                </c:pt>
                <c:pt idx="5">
                  <c:v>195</c:v>
                </c:pt>
                <c:pt idx="6">
                  <c:v>198</c:v>
                </c:pt>
                <c:pt idx="7">
                  <c:v>219</c:v>
                </c:pt>
                <c:pt idx="8">
                  <c:v>187</c:v>
                </c:pt>
                <c:pt idx="9">
                  <c:v>188</c:v>
                </c:pt>
                <c:pt idx="10">
                  <c:v>190</c:v>
                </c:pt>
                <c:pt idx="11">
                  <c:v>208</c:v>
                </c:pt>
                <c:pt idx="12">
                  <c:v>201</c:v>
                </c:pt>
                <c:pt idx="13">
                  <c:v>183</c:v>
                </c:pt>
                <c:pt idx="14">
                  <c:v>229</c:v>
                </c:pt>
                <c:pt idx="15">
                  <c:v>193</c:v>
                </c:pt>
                <c:pt idx="16">
                  <c:v>211</c:v>
                </c:pt>
                <c:pt idx="17">
                  <c:v>156</c:v>
                </c:pt>
                <c:pt idx="18">
                  <c:v>180</c:v>
                </c:pt>
                <c:pt idx="19">
                  <c:v>198</c:v>
                </c:pt>
                <c:pt idx="20">
                  <c:v>174</c:v>
                </c:pt>
                <c:pt idx="21">
                  <c:v>152</c:v>
                </c:pt>
                <c:pt idx="22">
                  <c:v>198</c:v>
                </c:pt>
                <c:pt idx="23">
                  <c:v>208</c:v>
                </c:pt>
                <c:pt idx="24">
                  <c:v>169</c:v>
                </c:pt>
                <c:pt idx="25">
                  <c:v>194</c:v>
                </c:pt>
                <c:pt idx="26">
                  <c:v>200</c:v>
                </c:pt>
                <c:pt idx="27">
                  <c:v>209</c:v>
                </c:pt>
                <c:pt idx="28">
                  <c:v>160</c:v>
                </c:pt>
                <c:pt idx="29">
                  <c:v>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52-4AC0-BD13-529F4780E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Confronto valori</a:t>
            </a:r>
            <a:r>
              <a:rPr lang="en-US" baseline="0"/>
              <a:t> assoluti (n = 10, m = 10)</a:t>
            </a:r>
            <a:endParaRPr lang="en-US"/>
          </a:p>
        </c:rich>
      </c:tx>
      <c:layout>
        <c:manualLayout>
          <c:xMode val="edge"/>
          <c:yMode val="edge"/>
          <c:x val="0.216050199791641"/>
          <c:y val="2.99393927952904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OTT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confronta_quadrate!$D$4:$D$33</c:f>
              <c:numCache>
                <c:formatCode>General</c:formatCode>
                <c:ptCount val="30"/>
                <c:pt idx="0">
                  <c:v>245</c:v>
                </c:pt>
                <c:pt idx="1">
                  <c:v>250</c:v>
                </c:pt>
                <c:pt idx="2">
                  <c:v>242</c:v>
                </c:pt>
                <c:pt idx="3">
                  <c:v>263</c:v>
                </c:pt>
                <c:pt idx="4">
                  <c:v>242</c:v>
                </c:pt>
                <c:pt idx="5">
                  <c:v>246</c:v>
                </c:pt>
                <c:pt idx="6">
                  <c:v>238</c:v>
                </c:pt>
                <c:pt idx="7">
                  <c:v>268</c:v>
                </c:pt>
                <c:pt idx="8">
                  <c:v>217</c:v>
                </c:pt>
                <c:pt idx="9">
                  <c:v>242</c:v>
                </c:pt>
                <c:pt idx="10">
                  <c:v>236</c:v>
                </c:pt>
                <c:pt idx="11">
                  <c:v>235</c:v>
                </c:pt>
                <c:pt idx="12">
                  <c:v>236</c:v>
                </c:pt>
                <c:pt idx="13">
                  <c:v>272</c:v>
                </c:pt>
                <c:pt idx="14">
                  <c:v>241</c:v>
                </c:pt>
                <c:pt idx="15">
                  <c:v>226</c:v>
                </c:pt>
                <c:pt idx="16">
                  <c:v>274</c:v>
                </c:pt>
                <c:pt idx="17">
                  <c:v>232</c:v>
                </c:pt>
                <c:pt idx="18">
                  <c:v>221</c:v>
                </c:pt>
                <c:pt idx="20">
                  <c:v>241</c:v>
                </c:pt>
                <c:pt idx="21">
                  <c:v>273</c:v>
                </c:pt>
                <c:pt idx="22">
                  <c:v>247</c:v>
                </c:pt>
                <c:pt idx="23">
                  <c:v>256</c:v>
                </c:pt>
                <c:pt idx="24">
                  <c:v>238</c:v>
                </c:pt>
                <c:pt idx="25">
                  <c:v>265</c:v>
                </c:pt>
                <c:pt idx="26">
                  <c:v>249</c:v>
                </c:pt>
                <c:pt idx="28">
                  <c:v>208</c:v>
                </c:pt>
                <c:pt idx="29">
                  <c:v>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89-4BC0-99ED-0104B1CB3E2F}"/>
            </c:ext>
          </c:extLst>
        </c:ser>
        <c:ser>
          <c:idx val="0"/>
          <c:order val="1"/>
          <c:tx>
            <c:v>LB2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yVal>
            <c:numRef>
              <c:f>confronta_quadrate!$Q$4:$Q$33</c:f>
              <c:numCache>
                <c:formatCode>General</c:formatCode>
                <c:ptCount val="30"/>
                <c:pt idx="0">
                  <c:v>217</c:v>
                </c:pt>
                <c:pt idx="1">
                  <c:v>227</c:v>
                </c:pt>
                <c:pt idx="2">
                  <c:v>218</c:v>
                </c:pt>
                <c:pt idx="3">
                  <c:v>262</c:v>
                </c:pt>
                <c:pt idx="4">
                  <c:v>221</c:v>
                </c:pt>
                <c:pt idx="5">
                  <c:v>229</c:v>
                </c:pt>
                <c:pt idx="6">
                  <c:v>226</c:v>
                </c:pt>
                <c:pt idx="7">
                  <c:v>248</c:v>
                </c:pt>
                <c:pt idx="8">
                  <c:v>205</c:v>
                </c:pt>
                <c:pt idx="9">
                  <c:v>230</c:v>
                </c:pt>
                <c:pt idx="10">
                  <c:v>220</c:v>
                </c:pt>
                <c:pt idx="11">
                  <c:v>214</c:v>
                </c:pt>
                <c:pt idx="12">
                  <c:v>236</c:v>
                </c:pt>
                <c:pt idx="13">
                  <c:v>247</c:v>
                </c:pt>
                <c:pt idx="14">
                  <c:v>221</c:v>
                </c:pt>
                <c:pt idx="15">
                  <c:v>217</c:v>
                </c:pt>
                <c:pt idx="16">
                  <c:v>270</c:v>
                </c:pt>
                <c:pt idx="17">
                  <c:v>207</c:v>
                </c:pt>
                <c:pt idx="18">
                  <c:v>208</c:v>
                </c:pt>
                <c:pt idx="20">
                  <c:v>220</c:v>
                </c:pt>
                <c:pt idx="21">
                  <c:v>237</c:v>
                </c:pt>
                <c:pt idx="22">
                  <c:v>224</c:v>
                </c:pt>
                <c:pt idx="23">
                  <c:v>235</c:v>
                </c:pt>
                <c:pt idx="24">
                  <c:v>234</c:v>
                </c:pt>
                <c:pt idx="25">
                  <c:v>242</c:v>
                </c:pt>
                <c:pt idx="26">
                  <c:v>220</c:v>
                </c:pt>
                <c:pt idx="28">
                  <c:v>201</c:v>
                </c:pt>
                <c:pt idx="29">
                  <c:v>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89-4BC0-99ED-0104B1CB3E2F}"/>
            </c:ext>
          </c:extLst>
        </c:ser>
        <c:ser>
          <c:idx val="2"/>
          <c:order val="2"/>
          <c:tx>
            <c:v>UB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confronta_quadrate!$P$4:$P$33</c:f>
              <c:numCache>
                <c:formatCode>General</c:formatCode>
                <c:ptCount val="30"/>
                <c:pt idx="0">
                  <c:v>264</c:v>
                </c:pt>
                <c:pt idx="1">
                  <c:v>297</c:v>
                </c:pt>
                <c:pt idx="2">
                  <c:v>286</c:v>
                </c:pt>
                <c:pt idx="3">
                  <c:v>350</c:v>
                </c:pt>
                <c:pt idx="4">
                  <c:v>314</c:v>
                </c:pt>
                <c:pt idx="5">
                  <c:v>299</c:v>
                </c:pt>
                <c:pt idx="6">
                  <c:v>299</c:v>
                </c:pt>
                <c:pt idx="7">
                  <c:v>304</c:v>
                </c:pt>
                <c:pt idx="8">
                  <c:v>270</c:v>
                </c:pt>
                <c:pt idx="9">
                  <c:v>284</c:v>
                </c:pt>
                <c:pt idx="10">
                  <c:v>289</c:v>
                </c:pt>
                <c:pt idx="11">
                  <c:v>287</c:v>
                </c:pt>
                <c:pt idx="12">
                  <c:v>301</c:v>
                </c:pt>
                <c:pt idx="13">
                  <c:v>305</c:v>
                </c:pt>
                <c:pt idx="14">
                  <c:v>280</c:v>
                </c:pt>
                <c:pt idx="15">
                  <c:v>254</c:v>
                </c:pt>
                <c:pt idx="16">
                  <c:v>316</c:v>
                </c:pt>
                <c:pt idx="17">
                  <c:v>278</c:v>
                </c:pt>
                <c:pt idx="18">
                  <c:v>240</c:v>
                </c:pt>
                <c:pt idx="20">
                  <c:v>286</c:v>
                </c:pt>
                <c:pt idx="21">
                  <c:v>382</c:v>
                </c:pt>
                <c:pt idx="22">
                  <c:v>288</c:v>
                </c:pt>
                <c:pt idx="23">
                  <c:v>308</c:v>
                </c:pt>
                <c:pt idx="24">
                  <c:v>284</c:v>
                </c:pt>
                <c:pt idx="25">
                  <c:v>329</c:v>
                </c:pt>
                <c:pt idx="26">
                  <c:v>341</c:v>
                </c:pt>
                <c:pt idx="28">
                  <c:v>249</c:v>
                </c:pt>
                <c:pt idx="29">
                  <c:v>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89-4BC0-99ED-0104B1CB3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Distribuzione</a:t>
            </a:r>
            <a:r>
              <a:rPr lang="en-US" baseline="0"/>
              <a:t> errori (n = 13, m = 13)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OTT</c:v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Non_guardare_perche_errato!$AH$5:$AH$11</c:f>
              <c:strCache>
                <c:ptCount val="7"/>
                <c:pt idx="0">
                  <c:v>0.00-0.10</c:v>
                </c:pt>
                <c:pt idx="1">
                  <c:v>0.10-0.20</c:v>
                </c:pt>
                <c:pt idx="2">
                  <c:v>0.20-0.30</c:v>
                </c:pt>
                <c:pt idx="3">
                  <c:v>0.30-0.40</c:v>
                </c:pt>
                <c:pt idx="4">
                  <c:v>0.40-0.50</c:v>
                </c:pt>
                <c:pt idx="5">
                  <c:v>0.50-0.60</c:v>
                </c:pt>
                <c:pt idx="6">
                  <c:v>0.60-1.00</c:v>
                </c:pt>
              </c:strCache>
            </c:strRef>
          </c:cat>
          <c:val>
            <c:numRef>
              <c:f>confronta_quadrate!$Y$124:$Y$130</c:f>
              <c:numCache>
                <c:formatCode>General</c:formatCode>
                <c:ptCount val="7"/>
                <c:pt idx="0">
                  <c:v>0</c:v>
                </c:pt>
                <c:pt idx="1">
                  <c:v>0.19230769230769232</c:v>
                </c:pt>
                <c:pt idx="2">
                  <c:v>0.5</c:v>
                </c:pt>
                <c:pt idx="3">
                  <c:v>0.23076923076923078</c:v>
                </c:pt>
                <c:pt idx="4">
                  <c:v>3.8461538461538464E-2</c:v>
                </c:pt>
                <c:pt idx="5">
                  <c:v>3.8461538461538464E-2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B-4E98-88C6-16FDA184FE2F}"/>
            </c:ext>
          </c:extLst>
        </c:ser>
        <c:ser>
          <c:idx val="1"/>
          <c:order val="1"/>
          <c:tx>
            <c:v>LB2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Non_guardare_perche_errato!$AH$5:$AH$11</c:f>
              <c:strCache>
                <c:ptCount val="7"/>
                <c:pt idx="0">
                  <c:v>0.00-0.10</c:v>
                </c:pt>
                <c:pt idx="1">
                  <c:v>0.10-0.20</c:v>
                </c:pt>
                <c:pt idx="2">
                  <c:v>0.20-0.30</c:v>
                </c:pt>
                <c:pt idx="3">
                  <c:v>0.30-0.40</c:v>
                </c:pt>
                <c:pt idx="4">
                  <c:v>0.40-0.50</c:v>
                </c:pt>
                <c:pt idx="5">
                  <c:v>0.50-0.60</c:v>
                </c:pt>
                <c:pt idx="6">
                  <c:v>0.60-1.00</c:v>
                </c:pt>
              </c:strCache>
            </c:strRef>
          </c:cat>
          <c:val>
            <c:numRef>
              <c:f>confronta_quadrate!$Z$124:$Z$130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0.19230769230769232</c:v>
                </c:pt>
                <c:pt idx="3">
                  <c:v>0.42307692307692307</c:v>
                </c:pt>
                <c:pt idx="4">
                  <c:v>0.34615384615384615</c:v>
                </c:pt>
                <c:pt idx="5">
                  <c:v>3.8461538461538464E-2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7B-4E98-88C6-16FDA184FE2F}"/>
            </c:ext>
          </c:extLst>
        </c:ser>
        <c:ser>
          <c:idx val="2"/>
          <c:order val="2"/>
          <c:tx>
            <c:v>LB3</c:v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confronta_quadrate!$AA$124:$AA$130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3.8461538461538464E-2</c:v>
                </c:pt>
                <c:pt idx="3">
                  <c:v>3.8461538461538464E-2</c:v>
                </c:pt>
                <c:pt idx="4">
                  <c:v>0.23076923076923078</c:v>
                </c:pt>
                <c:pt idx="5">
                  <c:v>0.30769230769230771</c:v>
                </c:pt>
                <c:pt idx="6">
                  <c:v>0.38461538461538464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7B-4E98-88C6-16FDA184F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384207"/>
        <c:axId val="1095383727"/>
      </c:barChart>
      <c:catAx>
        <c:axId val="109538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3727"/>
        <c:crosses val="autoZero"/>
        <c:auto val="1"/>
        <c:lblAlgn val="ctr"/>
        <c:lblOffset val="100"/>
        <c:noMultiLvlLbl val="0"/>
      </c:catAx>
      <c:valAx>
        <c:axId val="109538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Confronto valori</a:t>
            </a:r>
            <a:r>
              <a:rPr lang="en-US" baseline="0"/>
              <a:t> assoluti (n = 13, m = 13)</a:t>
            </a:r>
            <a:endParaRPr lang="en-US"/>
          </a:p>
        </c:rich>
      </c:tx>
      <c:layout>
        <c:manualLayout>
          <c:xMode val="edge"/>
          <c:yMode val="edge"/>
          <c:x val="0.23238131899410497"/>
          <c:y val="3.4511857705607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OTT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confronta_quadrate!$C$123:$C$152</c:f>
              <c:numCache>
                <c:formatCode>General</c:formatCode>
                <c:ptCount val="30"/>
                <c:pt idx="0">
                  <c:v>315</c:v>
                </c:pt>
                <c:pt idx="1">
                  <c:v>323</c:v>
                </c:pt>
                <c:pt idx="2">
                  <c:v>291</c:v>
                </c:pt>
                <c:pt idx="3">
                  <c:v>322</c:v>
                </c:pt>
                <c:pt idx="4">
                  <c:v>291</c:v>
                </c:pt>
                <c:pt idx="5">
                  <c:v>295</c:v>
                </c:pt>
                <c:pt idx="6">
                  <c:v>319</c:v>
                </c:pt>
                <c:pt idx="7">
                  <c:v>302</c:v>
                </c:pt>
                <c:pt idx="8">
                  <c:v>318</c:v>
                </c:pt>
                <c:pt idx="9">
                  <c:v>310</c:v>
                </c:pt>
                <c:pt idx="10">
                  <c:v>308</c:v>
                </c:pt>
                <c:pt idx="11">
                  <c:v>330</c:v>
                </c:pt>
                <c:pt idx="14">
                  <c:v>337</c:v>
                </c:pt>
                <c:pt idx="15">
                  <c:v>286</c:v>
                </c:pt>
                <c:pt idx="16">
                  <c:v>288</c:v>
                </c:pt>
                <c:pt idx="17">
                  <c:v>297</c:v>
                </c:pt>
                <c:pt idx="18">
                  <c:v>321</c:v>
                </c:pt>
                <c:pt idx="20">
                  <c:v>317</c:v>
                </c:pt>
                <c:pt idx="21">
                  <c:v>325</c:v>
                </c:pt>
                <c:pt idx="22">
                  <c:v>318</c:v>
                </c:pt>
                <c:pt idx="23">
                  <c:v>316</c:v>
                </c:pt>
                <c:pt idx="24">
                  <c:v>297</c:v>
                </c:pt>
                <c:pt idx="25">
                  <c:v>309</c:v>
                </c:pt>
                <c:pt idx="27">
                  <c:v>323</c:v>
                </c:pt>
                <c:pt idx="28">
                  <c:v>311</c:v>
                </c:pt>
                <c:pt idx="29">
                  <c:v>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BB-448D-A792-E17333E65432}"/>
            </c:ext>
          </c:extLst>
        </c:ser>
        <c:ser>
          <c:idx val="0"/>
          <c:order val="1"/>
          <c:tx>
            <c:v>LB2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yVal>
            <c:numRef>
              <c:f>confronta_quadrate!$Q$123:$Q$152</c:f>
              <c:numCache>
                <c:formatCode>General</c:formatCode>
                <c:ptCount val="30"/>
                <c:pt idx="0">
                  <c:v>270</c:v>
                </c:pt>
                <c:pt idx="1">
                  <c:v>282</c:v>
                </c:pt>
                <c:pt idx="2">
                  <c:v>261</c:v>
                </c:pt>
                <c:pt idx="3">
                  <c:v>280</c:v>
                </c:pt>
                <c:pt idx="4">
                  <c:v>280</c:v>
                </c:pt>
                <c:pt idx="5">
                  <c:v>267</c:v>
                </c:pt>
                <c:pt idx="6">
                  <c:v>306</c:v>
                </c:pt>
                <c:pt idx="7">
                  <c:v>295</c:v>
                </c:pt>
                <c:pt idx="8">
                  <c:v>306</c:v>
                </c:pt>
                <c:pt idx="9">
                  <c:v>291</c:v>
                </c:pt>
                <c:pt idx="10">
                  <c:v>278</c:v>
                </c:pt>
                <c:pt idx="11">
                  <c:v>314</c:v>
                </c:pt>
                <c:pt idx="14">
                  <c:v>298</c:v>
                </c:pt>
                <c:pt idx="15">
                  <c:v>253</c:v>
                </c:pt>
                <c:pt idx="16">
                  <c:v>266</c:v>
                </c:pt>
                <c:pt idx="17">
                  <c:v>275</c:v>
                </c:pt>
                <c:pt idx="18">
                  <c:v>303</c:v>
                </c:pt>
                <c:pt idx="20">
                  <c:v>307</c:v>
                </c:pt>
                <c:pt idx="21">
                  <c:v>319</c:v>
                </c:pt>
                <c:pt idx="22">
                  <c:v>305</c:v>
                </c:pt>
                <c:pt idx="23">
                  <c:v>296</c:v>
                </c:pt>
                <c:pt idx="24">
                  <c:v>286</c:v>
                </c:pt>
                <c:pt idx="25">
                  <c:v>268</c:v>
                </c:pt>
                <c:pt idx="27">
                  <c:v>295</c:v>
                </c:pt>
                <c:pt idx="28">
                  <c:v>286</c:v>
                </c:pt>
                <c:pt idx="29">
                  <c:v>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BB-448D-A792-E17333E65432}"/>
            </c:ext>
          </c:extLst>
        </c:ser>
        <c:ser>
          <c:idx val="2"/>
          <c:order val="2"/>
          <c:tx>
            <c:v>UB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confronta_quadrate!$P$123:$P$152</c:f>
              <c:numCache>
                <c:formatCode>General</c:formatCode>
                <c:ptCount val="30"/>
                <c:pt idx="0">
                  <c:v>386</c:v>
                </c:pt>
                <c:pt idx="1">
                  <c:v>414</c:v>
                </c:pt>
                <c:pt idx="2">
                  <c:v>379</c:v>
                </c:pt>
                <c:pt idx="3">
                  <c:v>387</c:v>
                </c:pt>
                <c:pt idx="4">
                  <c:v>382</c:v>
                </c:pt>
                <c:pt idx="5">
                  <c:v>372</c:v>
                </c:pt>
                <c:pt idx="6">
                  <c:v>396</c:v>
                </c:pt>
                <c:pt idx="7">
                  <c:v>391</c:v>
                </c:pt>
                <c:pt idx="8">
                  <c:v>384</c:v>
                </c:pt>
                <c:pt idx="9">
                  <c:v>361</c:v>
                </c:pt>
                <c:pt idx="10">
                  <c:v>412</c:v>
                </c:pt>
                <c:pt idx="11">
                  <c:v>421</c:v>
                </c:pt>
                <c:pt idx="14">
                  <c:v>433</c:v>
                </c:pt>
                <c:pt idx="15">
                  <c:v>346</c:v>
                </c:pt>
                <c:pt idx="16">
                  <c:v>374</c:v>
                </c:pt>
                <c:pt idx="17">
                  <c:v>376</c:v>
                </c:pt>
                <c:pt idx="18">
                  <c:v>432</c:v>
                </c:pt>
                <c:pt idx="20">
                  <c:v>408</c:v>
                </c:pt>
                <c:pt idx="21">
                  <c:v>386</c:v>
                </c:pt>
                <c:pt idx="22">
                  <c:v>431</c:v>
                </c:pt>
                <c:pt idx="23">
                  <c:v>429</c:v>
                </c:pt>
                <c:pt idx="24">
                  <c:v>372</c:v>
                </c:pt>
                <c:pt idx="25">
                  <c:v>414</c:v>
                </c:pt>
                <c:pt idx="27">
                  <c:v>408</c:v>
                </c:pt>
                <c:pt idx="28">
                  <c:v>369</c:v>
                </c:pt>
                <c:pt idx="29">
                  <c:v>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BB-448D-A792-E17333E65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Andamento</a:t>
            </a:r>
            <a:r>
              <a:rPr lang="en-US" baseline="0"/>
              <a:t> Scarti bound con dim istanza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confronta_quadrate!$B$181</c:f>
              <c:strCache>
                <c:ptCount val="1"/>
                <c:pt idx="0">
                  <c:v>OPT</c:v>
                </c:pt>
              </c:strCache>
            </c:strRef>
          </c:tx>
          <c:spPr>
            <a:ln w="9525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confronta_quadrate!$A$182:$A$184</c:f>
              <c:strCache>
                <c:ptCount val="3"/>
                <c:pt idx="0">
                  <c:v>7x7</c:v>
                </c:pt>
                <c:pt idx="1">
                  <c:v>10x10</c:v>
                </c:pt>
                <c:pt idx="2">
                  <c:v>13x13</c:v>
                </c:pt>
              </c:strCache>
            </c:strRef>
          </c:cat>
          <c:val>
            <c:numRef>
              <c:f>confronta_quadrate!$B$182:$B$184</c:f>
              <c:numCache>
                <c:formatCode>0.0%</c:formatCode>
                <c:ptCount val="3"/>
                <c:pt idx="0">
                  <c:v>0.11027205193232725</c:v>
                </c:pt>
                <c:pt idx="1">
                  <c:v>0.20532206237183054</c:v>
                </c:pt>
                <c:pt idx="2">
                  <c:v>0.27374309644401051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17-423F-9BD6-CA64D9A09A94}"/>
            </c:ext>
          </c:extLst>
        </c:ser>
        <c:ser>
          <c:idx val="1"/>
          <c:order val="1"/>
          <c:tx>
            <c:strRef>
              <c:f>confronta_quadrate!$C$181</c:f>
              <c:strCache>
                <c:ptCount val="1"/>
                <c:pt idx="0">
                  <c:v>LB2</c:v>
                </c:pt>
              </c:strCache>
            </c:strRef>
          </c:tx>
          <c:spPr>
            <a:ln w="952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confronta_quadrate!$A$182:$A$184</c:f>
              <c:strCache>
                <c:ptCount val="3"/>
                <c:pt idx="0">
                  <c:v>7x7</c:v>
                </c:pt>
                <c:pt idx="1">
                  <c:v>10x10</c:v>
                </c:pt>
                <c:pt idx="2">
                  <c:v>13x13</c:v>
                </c:pt>
              </c:strCache>
            </c:strRef>
          </c:cat>
          <c:val>
            <c:numRef>
              <c:f>confronta_quadrate!$C$182:$C$184</c:f>
              <c:numCache>
                <c:formatCode>0.0%</c:formatCode>
                <c:ptCount val="3"/>
                <c:pt idx="0">
                  <c:v>0.20673585019658247</c:v>
                </c:pt>
                <c:pt idx="1">
                  <c:v>0.29541715222718573</c:v>
                </c:pt>
                <c:pt idx="2">
                  <c:v>0.37379434050537197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17-423F-9BD6-CA64D9A09A94}"/>
            </c:ext>
          </c:extLst>
        </c:ser>
        <c:ser>
          <c:idx val="2"/>
          <c:order val="2"/>
          <c:tx>
            <c:strRef>
              <c:f>confronta_quadrate!$D$181</c:f>
              <c:strCache>
                <c:ptCount val="1"/>
                <c:pt idx="0">
                  <c:v>LB3</c:v>
                </c:pt>
              </c:strCache>
            </c:strRef>
          </c:tx>
          <c:spPr>
            <a:ln w="12700" cap="rnd">
              <a:solidFill>
                <a:schemeClr val="accent2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confronta_quadrate!$A$182:$A$184</c:f>
              <c:strCache>
                <c:ptCount val="3"/>
                <c:pt idx="0">
                  <c:v>7x7</c:v>
                </c:pt>
                <c:pt idx="1">
                  <c:v>10x10</c:v>
                </c:pt>
                <c:pt idx="2">
                  <c:v>13x13</c:v>
                </c:pt>
              </c:strCache>
            </c:strRef>
          </c:cat>
          <c:val>
            <c:numRef>
              <c:f>confronta_quadrate!$D$182:$D$184</c:f>
              <c:numCache>
                <c:formatCode>0.0%</c:formatCode>
                <c:ptCount val="3"/>
                <c:pt idx="0">
                  <c:v>0.35185129036196233</c:v>
                </c:pt>
                <c:pt idx="1">
                  <c:v>0.46149752413576989</c:v>
                </c:pt>
                <c:pt idx="2">
                  <c:v>0.56325801428356936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17-423F-9BD6-CA64D9A09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378256"/>
        <c:axId val="1115378736"/>
      </c:lineChart>
      <c:catAx>
        <c:axId val="111537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8736"/>
        <c:crosses val="autoZero"/>
        <c:auto val="1"/>
        <c:lblAlgn val="ctr"/>
        <c:lblOffset val="100"/>
        <c:noMultiLvlLbl val="0"/>
      </c:catAx>
      <c:valAx>
        <c:axId val="11153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Andamento</a:t>
            </a:r>
            <a:r>
              <a:rPr lang="en-US" baseline="0"/>
              <a:t> Tempi di calcolo con dim istanza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confronta_quadrate!$B$186</c:f>
              <c:strCache>
                <c:ptCount val="1"/>
                <c:pt idx="0">
                  <c:v>OPT(DM)_TIME</c:v>
                </c:pt>
              </c:strCache>
            </c:strRef>
          </c:tx>
          <c:spPr>
            <a:ln w="9525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confronta_quadrate!$A$182:$A$184</c:f>
              <c:strCache>
                <c:ptCount val="3"/>
                <c:pt idx="0">
                  <c:v>7x7</c:v>
                </c:pt>
                <c:pt idx="1">
                  <c:v>10x10</c:v>
                </c:pt>
                <c:pt idx="2">
                  <c:v>13x13</c:v>
                </c:pt>
              </c:strCache>
            </c:strRef>
          </c:cat>
          <c:val>
            <c:numRef>
              <c:f>confronta_quadrate!$B$187:$B$189</c:f>
              <c:numCache>
                <c:formatCode>General</c:formatCode>
                <c:ptCount val="3"/>
                <c:pt idx="0">
                  <c:v>0.10453333333333334</c:v>
                </c:pt>
                <c:pt idx="1">
                  <c:v>2.1998214285714286</c:v>
                </c:pt>
                <c:pt idx="2">
                  <c:v>105.50634615384617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73-42F4-818B-4C76FBFD7DEC}"/>
            </c:ext>
          </c:extLst>
        </c:ser>
        <c:ser>
          <c:idx val="1"/>
          <c:order val="1"/>
          <c:tx>
            <c:strRef>
              <c:f>confronta_quadrate!$C$186</c:f>
              <c:strCache>
                <c:ptCount val="1"/>
                <c:pt idx="0">
                  <c:v>SBH_TIME</c:v>
                </c:pt>
              </c:strCache>
            </c:strRef>
          </c:tx>
          <c:spPr>
            <a:ln w="952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confronta_quadrate!$A$182:$A$184</c:f>
              <c:strCache>
                <c:ptCount val="3"/>
                <c:pt idx="0">
                  <c:v>7x7</c:v>
                </c:pt>
                <c:pt idx="1">
                  <c:v>10x10</c:v>
                </c:pt>
                <c:pt idx="2">
                  <c:v>13x13</c:v>
                </c:pt>
              </c:strCache>
            </c:strRef>
          </c:cat>
          <c:val>
            <c:numRef>
              <c:f>confronta_quadrate!$C$187:$C$189</c:f>
              <c:numCache>
                <c:formatCode>General</c:formatCode>
                <c:ptCount val="3"/>
                <c:pt idx="0">
                  <c:v>1.6474</c:v>
                </c:pt>
                <c:pt idx="1">
                  <c:v>5.774</c:v>
                </c:pt>
                <c:pt idx="2">
                  <c:v>18.257192307692307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73-42F4-818B-4C76FBFD7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378256"/>
        <c:axId val="1115378736"/>
      </c:lineChart>
      <c:catAx>
        <c:axId val="111537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8736"/>
        <c:crosses val="autoZero"/>
        <c:auto val="1"/>
        <c:lblAlgn val="ctr"/>
        <c:lblOffset val="100"/>
        <c:noMultiLvlLbl val="0"/>
      </c:catAx>
      <c:valAx>
        <c:axId val="11153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Andamento</a:t>
            </a:r>
            <a:r>
              <a:rPr lang="en-US" baseline="0"/>
              <a:t> Scarti bound con processing time (n = 5, m = 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'Valutazione ottimi'!$D$121</c:f>
              <c:strCache>
                <c:ptCount val="1"/>
                <c:pt idx="0">
                  <c:v>LB2</c:v>
                </c:pt>
              </c:strCache>
            </c:strRef>
          </c:tx>
          <c:spPr>
            <a:ln w="952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'Valutazione ottimi'!$B$122:$B$124</c:f>
              <c:strCache>
                <c:ptCount val="3"/>
                <c:pt idx="0">
                  <c:v>1 &lt;=p[j,h] &lt;= 30</c:v>
                </c:pt>
                <c:pt idx="1">
                  <c:v>30 &lt;=p[j,h] &lt;= 60</c:v>
                </c:pt>
                <c:pt idx="2">
                  <c:v>60 &lt;=p[j,h] &lt;= 90</c:v>
                </c:pt>
              </c:strCache>
            </c:strRef>
          </c:cat>
          <c:val>
            <c:numRef>
              <c:f>'Valutazione ottimi'!$D$122:$D$124</c:f>
              <c:numCache>
                <c:formatCode>General</c:formatCode>
                <c:ptCount val="3"/>
                <c:pt idx="0">
                  <c:v>0.14135718500830444</c:v>
                </c:pt>
                <c:pt idx="1">
                  <c:v>0.14794017332362833</c:v>
                </c:pt>
                <c:pt idx="2">
                  <c:v>0.12084832063198817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E3-4CAD-A70D-4F38FE2AFB44}"/>
            </c:ext>
          </c:extLst>
        </c:ser>
        <c:ser>
          <c:idx val="2"/>
          <c:order val="1"/>
          <c:tx>
            <c:strRef>
              <c:f>'Valutazione ottimi'!$E$121</c:f>
              <c:strCache>
                <c:ptCount val="1"/>
                <c:pt idx="0">
                  <c:v>LB3</c:v>
                </c:pt>
              </c:strCache>
            </c:strRef>
          </c:tx>
          <c:spPr>
            <a:ln w="12700" cap="rnd">
              <a:solidFill>
                <a:schemeClr val="accent2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'Valutazione ottimi'!$B$122:$B$124</c:f>
              <c:strCache>
                <c:ptCount val="3"/>
                <c:pt idx="0">
                  <c:v>1 &lt;=p[j,h] &lt;= 30</c:v>
                </c:pt>
                <c:pt idx="1">
                  <c:v>30 &lt;=p[j,h] &lt;= 60</c:v>
                </c:pt>
                <c:pt idx="2">
                  <c:v>60 &lt;=p[j,h] &lt;= 90</c:v>
                </c:pt>
              </c:strCache>
            </c:strRef>
          </c:cat>
          <c:val>
            <c:numRef>
              <c:f>'Valutazione ottimi'!$E$122:$E$124</c:f>
              <c:numCache>
                <c:formatCode>General</c:formatCode>
                <c:ptCount val="3"/>
                <c:pt idx="0">
                  <c:v>0.34029770587326402</c:v>
                </c:pt>
                <c:pt idx="1">
                  <c:v>0.47375579988986222</c:v>
                </c:pt>
                <c:pt idx="2">
                  <c:v>0.50368333911483953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E3-4CAD-A70D-4F38FE2AFB44}"/>
            </c:ext>
          </c:extLst>
        </c:ser>
        <c:ser>
          <c:idx val="0"/>
          <c:order val="2"/>
          <c:tx>
            <c:strRef>
              <c:f>'Valutazione ottimi'!$C$121</c:f>
              <c:strCache>
                <c:ptCount val="1"/>
                <c:pt idx="0">
                  <c:v>OPT</c:v>
                </c:pt>
              </c:strCache>
            </c:strRef>
          </c:tx>
          <c:spPr>
            <a:ln w="9525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'Valutazione ottimi'!$B$122:$B$124</c:f>
              <c:strCache>
                <c:ptCount val="3"/>
                <c:pt idx="0">
                  <c:v>1 &lt;=p[j,h] &lt;= 30</c:v>
                </c:pt>
                <c:pt idx="1">
                  <c:v>30 &lt;=p[j,h] &lt;= 60</c:v>
                </c:pt>
                <c:pt idx="2">
                  <c:v>60 &lt;=p[j,h] &lt;= 90</c:v>
                </c:pt>
              </c:strCache>
            </c:strRef>
          </c:cat>
          <c:val>
            <c:numRef>
              <c:f>'Valutazione ottimi'!$C$122:$C$124</c:f>
              <c:numCache>
                <c:formatCode>General</c:formatCode>
                <c:ptCount val="3"/>
                <c:pt idx="0">
                  <c:v>8.3257776549122489E-2</c:v>
                </c:pt>
                <c:pt idx="1">
                  <c:v>7.2555639417971121E-2</c:v>
                </c:pt>
                <c:pt idx="2">
                  <c:v>5.4100882258352481E-2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E3-4CAD-A70D-4F38FE2AF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378256"/>
        <c:axId val="1115378736"/>
      </c:lineChart>
      <c:catAx>
        <c:axId val="111537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8736"/>
        <c:crosses val="autoZero"/>
        <c:auto val="1"/>
        <c:lblAlgn val="ctr"/>
        <c:lblOffset val="100"/>
        <c:noMultiLvlLbl val="0"/>
      </c:catAx>
      <c:valAx>
        <c:axId val="11153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Tempi </a:t>
            </a:r>
            <a:r>
              <a:rPr lang="en-US" baseline="0"/>
              <a:t>di calcolo al variare di p[j,h] (n = 5, m = 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'Valutazione ottimi'!$C$148</c:f>
              <c:strCache>
                <c:ptCount val="1"/>
                <c:pt idx="0">
                  <c:v>DM</c:v>
                </c:pt>
              </c:strCache>
            </c:strRef>
          </c:tx>
          <c:spPr>
            <a:ln w="9525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'Valutazione ottimi'!$B$122:$B$124</c:f>
              <c:strCache>
                <c:ptCount val="3"/>
                <c:pt idx="0">
                  <c:v>1 &lt;=p[j,h] &lt;= 30</c:v>
                </c:pt>
                <c:pt idx="1">
                  <c:v>30 &lt;=p[j,h] &lt;= 60</c:v>
                </c:pt>
                <c:pt idx="2">
                  <c:v>60 &lt;=p[j,h] &lt;= 90</c:v>
                </c:pt>
              </c:strCache>
            </c:strRef>
          </c:cat>
          <c:val>
            <c:numRef>
              <c:f>'Valutazione ottimi'!$C$149:$C$151</c:f>
              <c:numCache>
                <c:formatCode>General</c:formatCode>
                <c:ptCount val="3"/>
                <c:pt idx="0">
                  <c:v>4.0133333333333333E-2</c:v>
                </c:pt>
                <c:pt idx="1">
                  <c:v>4.4299999999999999E-2</c:v>
                </c:pt>
                <c:pt idx="2">
                  <c:v>4.3333333333333335E-2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AF-422D-A0CD-51DA4D2E1742}"/>
            </c:ext>
          </c:extLst>
        </c:ser>
        <c:ser>
          <c:idx val="2"/>
          <c:order val="1"/>
          <c:tx>
            <c:strRef>
              <c:f>'Valutazione ottimi'!$E$148</c:f>
              <c:strCache>
                <c:ptCount val="1"/>
                <c:pt idx="0">
                  <c:v>TI*(1)</c:v>
                </c:pt>
              </c:strCache>
            </c:strRef>
          </c:tx>
          <c:spPr>
            <a:ln w="9525" cap="rnd">
              <a:solidFill>
                <a:srgbClr val="0070C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cat>
            <c:strRef>
              <c:f>'Valutazione ottimi'!$B$122:$B$124</c:f>
              <c:strCache>
                <c:ptCount val="3"/>
                <c:pt idx="0">
                  <c:v>1 &lt;=p[j,h] &lt;= 30</c:v>
                </c:pt>
                <c:pt idx="1">
                  <c:v>30 &lt;=p[j,h] &lt;= 60</c:v>
                </c:pt>
                <c:pt idx="2">
                  <c:v>60 &lt;=p[j,h] &lt;= 90</c:v>
                </c:pt>
              </c:strCache>
            </c:strRef>
          </c:cat>
          <c:val>
            <c:numRef>
              <c:f>'Valutazione ottimi'!$E$149:$E$151</c:f>
              <c:numCache>
                <c:formatCode>General</c:formatCode>
                <c:ptCount val="3"/>
                <c:pt idx="0">
                  <c:v>0.84833333333333327</c:v>
                </c:pt>
                <c:pt idx="1">
                  <c:v>9.8489333333333331</c:v>
                </c:pt>
                <c:pt idx="2">
                  <c:v>33.18803333333333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F-422D-A0CD-51DA4D2E1742}"/>
            </c:ext>
          </c:extLst>
        </c:ser>
        <c:ser>
          <c:idx val="0"/>
          <c:order val="2"/>
          <c:tx>
            <c:strRef>
              <c:f>'Valutazione ottimi'!$G$148</c:f>
              <c:strCache>
                <c:ptCount val="1"/>
                <c:pt idx="0">
                  <c:v>TI*(2)</c:v>
                </c:pt>
              </c:strCache>
            </c:strRef>
          </c:tx>
          <c:spPr>
            <a:ln w="952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cat>
            <c:strRef>
              <c:f>'Valutazione ottimi'!$B$122:$B$124</c:f>
              <c:strCache>
                <c:ptCount val="3"/>
                <c:pt idx="0">
                  <c:v>1 &lt;=p[j,h] &lt;= 30</c:v>
                </c:pt>
                <c:pt idx="1">
                  <c:v>30 &lt;=p[j,h] &lt;= 60</c:v>
                </c:pt>
                <c:pt idx="2">
                  <c:v>60 &lt;=p[j,h] &lt;= 90</c:v>
                </c:pt>
              </c:strCache>
            </c:strRef>
          </c:cat>
          <c:val>
            <c:numRef>
              <c:f>'Valutazione ottimi'!$G$149:$G$151</c:f>
              <c:numCache>
                <c:formatCode>General</c:formatCode>
                <c:ptCount val="3"/>
                <c:pt idx="0">
                  <c:v>0.71050000000000002</c:v>
                </c:pt>
                <c:pt idx="1">
                  <c:v>10.689033333333333</c:v>
                </c:pt>
                <c:pt idx="2">
                  <c:v>30.959266666666668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AF-422D-A0CD-51DA4D2E1742}"/>
            </c:ext>
          </c:extLst>
        </c:ser>
        <c:ser>
          <c:idx val="3"/>
          <c:order val="3"/>
          <c:tx>
            <c:strRef>
              <c:f>'Valutazione ottimi'!$H$148</c:f>
              <c:strCache>
                <c:ptCount val="1"/>
                <c:pt idx="0">
                  <c:v>RB</c:v>
                </c:pt>
              </c:strCache>
            </c:strRef>
          </c:tx>
          <c:spPr>
            <a:ln w="9525" cap="rnd">
              <a:solidFill>
                <a:srgbClr val="7030A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noFill/>
              </a:ln>
              <a:effectLst/>
            </c:spPr>
          </c:marker>
          <c:val>
            <c:numRef>
              <c:f>'Valutazione ottimi'!$H$149:$H$151</c:f>
              <c:numCache>
                <c:formatCode>General</c:formatCode>
                <c:ptCount val="3"/>
                <c:pt idx="0">
                  <c:v>10.4948</c:v>
                </c:pt>
                <c:pt idx="1">
                  <c:v>5.9818000000000007</c:v>
                </c:pt>
                <c:pt idx="2">
                  <c:v>4.9141000000000004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AF-422D-A0CD-51DA4D2E1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378256"/>
        <c:axId val="1115378736"/>
      </c:lineChart>
      <c:catAx>
        <c:axId val="111537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8736"/>
        <c:crosses val="autoZero"/>
        <c:auto val="1"/>
        <c:lblAlgn val="ctr"/>
        <c:lblOffset val="100"/>
        <c:noMultiLvlLbl val="0"/>
      </c:catAx>
      <c:valAx>
        <c:axId val="11153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Effetto variazione di T sul tempo di calcolo per TI(1) e TI(2) (n = 5, m = 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'Valutazione ottimi'!$G$148</c:f>
              <c:strCache>
                <c:ptCount val="1"/>
                <c:pt idx="0">
                  <c:v>TI*(2)</c:v>
                </c:pt>
              </c:strCache>
            </c:strRef>
          </c:tx>
          <c:spPr>
            <a:solidFill>
              <a:schemeClr val="accent2"/>
            </a:solidFill>
            <a:ln w="9525">
              <a:noFill/>
              <a:prstDash val="lgDash"/>
            </a:ln>
            <a:effectLst/>
          </c:spPr>
          <c:invertIfNegative val="0"/>
          <c:cat>
            <c:strRef>
              <c:f>'Valutazione ottimi'!$B$122:$B$124</c:f>
              <c:strCache>
                <c:ptCount val="3"/>
                <c:pt idx="0">
                  <c:v>1 &lt;=p[j,h] &lt;= 30</c:v>
                </c:pt>
                <c:pt idx="1">
                  <c:v>30 &lt;=p[j,h] &lt;= 60</c:v>
                </c:pt>
                <c:pt idx="2">
                  <c:v>60 &lt;=p[j,h] &lt;= 90</c:v>
                </c:pt>
              </c:strCache>
            </c:strRef>
          </c:cat>
          <c:val>
            <c:numRef>
              <c:f>'Valutazione ottimi'!$G$149:$G$151</c:f>
              <c:numCache>
                <c:formatCode>General</c:formatCode>
                <c:ptCount val="3"/>
                <c:pt idx="0">
                  <c:v>0.71050000000000002</c:v>
                </c:pt>
                <c:pt idx="1">
                  <c:v>10.689033333333333</c:v>
                </c:pt>
                <c:pt idx="2">
                  <c:v>30.959266666666668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4-42A7-827D-CCD8474C09E1}"/>
            </c:ext>
          </c:extLst>
        </c:ser>
        <c:ser>
          <c:idx val="1"/>
          <c:order val="1"/>
          <c:tx>
            <c:strRef>
              <c:f>'Valutazione ottimi'!$F$148</c:f>
              <c:strCache>
                <c:ptCount val="1"/>
                <c:pt idx="0">
                  <c:v>TI(2)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 w="25400">
              <a:noFill/>
              <a:prstDash val="sysDot"/>
            </a:ln>
            <a:effectLst/>
          </c:spPr>
          <c:invertIfNegative val="0"/>
          <c:val>
            <c:numRef>
              <c:f>'Valutazione ottimi'!$F$149:$F$151</c:f>
              <c:numCache>
                <c:formatCode>General</c:formatCode>
                <c:ptCount val="3"/>
                <c:pt idx="0">
                  <c:v>2.7389999999999999</c:v>
                </c:pt>
                <c:pt idx="1">
                  <c:v>28.013466666666666</c:v>
                </c:pt>
                <c:pt idx="2">
                  <c:v>223.00066666666666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D4-42A7-827D-CCD8474C09E1}"/>
            </c:ext>
          </c:extLst>
        </c:ser>
        <c:ser>
          <c:idx val="4"/>
          <c:order val="2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'Valutazione ottimi'!$Q$150:$Q$152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4-14D4-42A7-827D-CCD8474C09E1}"/>
            </c:ext>
          </c:extLst>
        </c:ser>
        <c:ser>
          <c:idx val="2"/>
          <c:order val="3"/>
          <c:tx>
            <c:strRef>
              <c:f>'Valutazione ottimi'!$E$148</c:f>
              <c:strCache>
                <c:ptCount val="1"/>
                <c:pt idx="0">
                  <c:v>TI*(1)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'Valutazione ottimi'!$E$149:$E$151</c:f>
              <c:numCache>
                <c:formatCode>General</c:formatCode>
                <c:ptCount val="3"/>
                <c:pt idx="0">
                  <c:v>0.84833333333333327</c:v>
                </c:pt>
                <c:pt idx="1">
                  <c:v>9.8489333333333331</c:v>
                </c:pt>
                <c:pt idx="2">
                  <c:v>33.18803333333333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D4-42A7-827D-CCD8474C09E1}"/>
            </c:ext>
          </c:extLst>
        </c:ser>
        <c:ser>
          <c:idx val="3"/>
          <c:order val="4"/>
          <c:tx>
            <c:strRef>
              <c:f>'Valutazione ottimi'!$D$148</c:f>
              <c:strCache>
                <c:ptCount val="1"/>
                <c:pt idx="0">
                  <c:v>TI(1)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'Valutazione ottimi'!$D$149:$D$151</c:f>
              <c:numCache>
                <c:formatCode>General</c:formatCode>
                <c:ptCount val="3"/>
                <c:pt idx="0">
                  <c:v>2.6912000000000003</c:v>
                </c:pt>
                <c:pt idx="1">
                  <c:v>34.655233333333328</c:v>
                </c:pt>
                <c:pt idx="2">
                  <c:v>379.68666666666667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D4-42A7-827D-CCD8474C0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5378256"/>
        <c:axId val="1115378736"/>
      </c:barChart>
      <c:catAx>
        <c:axId val="111537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8736"/>
        <c:crosses val="autoZero"/>
        <c:auto val="1"/>
        <c:lblAlgn val="ctr"/>
        <c:lblOffset val="100"/>
        <c:noMultiLvlLbl val="0"/>
      </c:catAx>
      <c:valAx>
        <c:axId val="11153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Variazione di T su N_var per TI(1) e TI(2) (n = 5, m = 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'Valutazione ottimi'!$G$156</c:f>
              <c:strCache>
                <c:ptCount val="1"/>
                <c:pt idx="0">
                  <c:v>TI*(2)</c:v>
                </c:pt>
              </c:strCache>
            </c:strRef>
          </c:tx>
          <c:spPr>
            <a:solidFill>
              <a:schemeClr val="accent2"/>
            </a:solidFill>
            <a:ln w="9525">
              <a:noFill/>
              <a:prstDash val="lgDash"/>
            </a:ln>
            <a:effectLst/>
          </c:spPr>
          <c:invertIfNegative val="0"/>
          <c:cat>
            <c:strRef>
              <c:f>'Valutazione ottimi'!$B$122:$B$124</c:f>
              <c:strCache>
                <c:ptCount val="3"/>
                <c:pt idx="0">
                  <c:v>1 &lt;=p[j,h] &lt;= 30</c:v>
                </c:pt>
                <c:pt idx="1">
                  <c:v>30 &lt;=p[j,h] &lt;= 60</c:v>
                </c:pt>
                <c:pt idx="2">
                  <c:v>60 &lt;=p[j,h] &lt;= 90</c:v>
                </c:pt>
              </c:strCache>
            </c:strRef>
          </c:cat>
          <c:val>
            <c:numRef>
              <c:f>'Valutazione ottimi'!$G$157:$G$159</c:f>
              <c:numCache>
                <c:formatCode>General</c:formatCode>
                <c:ptCount val="3"/>
                <c:pt idx="0">
                  <c:v>1509.8333333333333</c:v>
                </c:pt>
                <c:pt idx="1">
                  <c:v>3629.6666666666665</c:v>
                </c:pt>
                <c:pt idx="2">
                  <c:v>5716.333333333333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FB-4C21-A8EF-7734C6E34330}"/>
            </c:ext>
          </c:extLst>
        </c:ser>
        <c:ser>
          <c:idx val="1"/>
          <c:order val="1"/>
          <c:tx>
            <c:strRef>
              <c:f>'Valutazione ottimi'!$F$148</c:f>
              <c:strCache>
                <c:ptCount val="1"/>
                <c:pt idx="0">
                  <c:v>TI(2)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 w="25400">
              <a:noFill/>
              <a:prstDash val="sysDot"/>
            </a:ln>
            <a:effectLst/>
          </c:spPr>
          <c:invertIfNegative val="0"/>
          <c:val>
            <c:numRef>
              <c:f>'Valutazione ottimi'!$F$157:$F$159</c:f>
              <c:numCache>
                <c:formatCode>General</c:formatCode>
                <c:ptCount val="3"/>
                <c:pt idx="0">
                  <c:v>7547.333333333333</c:v>
                </c:pt>
                <c:pt idx="1">
                  <c:v>22298</c:v>
                </c:pt>
                <c:pt idx="2">
                  <c:v>37298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FB-4C21-A8EF-7734C6E34330}"/>
            </c:ext>
          </c:extLst>
        </c:ser>
        <c:ser>
          <c:idx val="4"/>
          <c:order val="2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'Valutazione ottimi'!$I$164:$I$166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4DFB-4C21-A8EF-7734C6E34330}"/>
            </c:ext>
          </c:extLst>
        </c:ser>
        <c:ser>
          <c:idx val="2"/>
          <c:order val="3"/>
          <c:tx>
            <c:strRef>
              <c:f>'Valutazione ottimi'!$E$156</c:f>
              <c:strCache>
                <c:ptCount val="1"/>
                <c:pt idx="0">
                  <c:v>TI*(1)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'Valutazione ottimi'!$E$157:$E$159</c:f>
              <c:numCache>
                <c:formatCode>General</c:formatCode>
                <c:ptCount val="3"/>
                <c:pt idx="0">
                  <c:v>3014.1</c:v>
                </c:pt>
                <c:pt idx="1">
                  <c:v>8084.0666666666666</c:v>
                </c:pt>
                <c:pt idx="2">
                  <c:v>13170.733333333334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FB-4C21-A8EF-7734C6E34330}"/>
            </c:ext>
          </c:extLst>
        </c:ser>
        <c:ser>
          <c:idx val="3"/>
          <c:order val="4"/>
          <c:tx>
            <c:strRef>
              <c:f>'Valutazione ottimi'!$D$156</c:f>
              <c:strCache>
                <c:ptCount val="1"/>
                <c:pt idx="0">
                  <c:v>TI(1)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'Valutazione ottimi'!$D$157:$D$159</c:f>
              <c:numCache>
                <c:formatCode>General</c:formatCode>
                <c:ptCount val="3"/>
                <c:pt idx="0">
                  <c:v>9051.6</c:v>
                </c:pt>
                <c:pt idx="1">
                  <c:v>26752.400000000001</c:v>
                </c:pt>
                <c:pt idx="2">
                  <c:v>44752.4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FB-4C21-A8EF-7734C6E3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5378256"/>
        <c:axId val="1115378736"/>
      </c:barChart>
      <c:catAx>
        <c:axId val="111537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8736"/>
        <c:crosses val="autoZero"/>
        <c:auto val="1"/>
        <c:lblAlgn val="ctr"/>
        <c:lblOffset val="100"/>
        <c:noMultiLvlLbl val="0"/>
      </c:catAx>
      <c:valAx>
        <c:axId val="11153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Variazione di T su N_cons per TI(1) e TI(2) (n = 5, m = 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'Valutazione ottimi'!$G$156</c:f>
              <c:strCache>
                <c:ptCount val="1"/>
                <c:pt idx="0">
                  <c:v>TI*(2)</c:v>
                </c:pt>
              </c:strCache>
            </c:strRef>
          </c:tx>
          <c:spPr>
            <a:solidFill>
              <a:schemeClr val="accent2"/>
            </a:solidFill>
            <a:ln w="9525">
              <a:noFill/>
              <a:prstDash val="lgDash"/>
            </a:ln>
            <a:effectLst/>
          </c:spPr>
          <c:invertIfNegative val="0"/>
          <c:cat>
            <c:strRef>
              <c:f>'Valutazione ottimi'!$B$122:$B$124</c:f>
              <c:strCache>
                <c:ptCount val="3"/>
                <c:pt idx="0">
                  <c:v>1 &lt;=p[j,h] &lt;= 30</c:v>
                </c:pt>
                <c:pt idx="1">
                  <c:v>30 &lt;=p[j,h] &lt;= 60</c:v>
                </c:pt>
                <c:pt idx="2">
                  <c:v>60 &lt;=p[j,h] &lt;= 90</c:v>
                </c:pt>
              </c:strCache>
            </c:strRef>
          </c:cat>
          <c:val>
            <c:numRef>
              <c:f>'Valutazione ottimi'!$G$164:$G$166</c:f>
              <c:numCache>
                <c:formatCode>General</c:formatCode>
                <c:ptCount val="3"/>
                <c:pt idx="0">
                  <c:v>722.83333333333337</c:v>
                </c:pt>
                <c:pt idx="1">
                  <c:v>1884.3333333333333</c:v>
                </c:pt>
                <c:pt idx="2">
                  <c:v>3051.6666666666665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2-4D8D-B1F4-1CF6CA12ECAA}"/>
            </c:ext>
          </c:extLst>
        </c:ser>
        <c:ser>
          <c:idx val="1"/>
          <c:order val="1"/>
          <c:tx>
            <c:strRef>
              <c:f>'Valutazione ottimi'!$F$148</c:f>
              <c:strCache>
                <c:ptCount val="1"/>
                <c:pt idx="0">
                  <c:v>TI(2)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 w="25400">
              <a:noFill/>
              <a:prstDash val="sysDot"/>
            </a:ln>
            <a:effectLst/>
          </c:spPr>
          <c:invertIfNegative val="0"/>
          <c:val>
            <c:numRef>
              <c:f>'Valutazione ottimi'!$F$164:$F$166</c:f>
              <c:numCache>
                <c:formatCode>General</c:formatCode>
                <c:ptCount val="3"/>
                <c:pt idx="0">
                  <c:v>1930.3333333333333</c:v>
                </c:pt>
                <c:pt idx="1">
                  <c:v>5618</c:v>
                </c:pt>
                <c:pt idx="2">
                  <c:v>9368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B2-4D8D-B1F4-1CF6CA12ECAA}"/>
            </c:ext>
          </c:extLst>
        </c:ser>
        <c:ser>
          <c:idx val="4"/>
          <c:order val="2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'Valutazione ottimi'!$Q$161:$Q$163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4-6CB2-4D8D-B1F4-1CF6CA12ECAA}"/>
            </c:ext>
          </c:extLst>
        </c:ser>
        <c:ser>
          <c:idx val="2"/>
          <c:order val="3"/>
          <c:tx>
            <c:strRef>
              <c:f>'Valutazione ottimi'!$E$156</c:f>
              <c:strCache>
                <c:ptCount val="1"/>
                <c:pt idx="0">
                  <c:v>TI*(1)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'Valutazione ottimi'!$E$164:$E$166</c:f>
              <c:numCache>
                <c:formatCode>General</c:formatCode>
                <c:ptCount val="3"/>
                <c:pt idx="0">
                  <c:v>722.83333333333337</c:v>
                </c:pt>
                <c:pt idx="1">
                  <c:v>1884.3333333333333</c:v>
                </c:pt>
                <c:pt idx="2">
                  <c:v>3051.6666666666665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B2-4D8D-B1F4-1CF6CA12ECAA}"/>
            </c:ext>
          </c:extLst>
        </c:ser>
        <c:ser>
          <c:idx val="3"/>
          <c:order val="4"/>
          <c:tx>
            <c:strRef>
              <c:f>'Valutazione ottimi'!$D$156</c:f>
              <c:strCache>
                <c:ptCount val="1"/>
                <c:pt idx="0">
                  <c:v>TI(1)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'Valutazione ottimi'!$D$164:$D$166</c:f>
              <c:numCache>
                <c:formatCode>General</c:formatCode>
                <c:ptCount val="3"/>
                <c:pt idx="0">
                  <c:v>1930.3333333333333</c:v>
                </c:pt>
                <c:pt idx="1">
                  <c:v>5618</c:v>
                </c:pt>
                <c:pt idx="2">
                  <c:v>9368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B2-4D8D-B1F4-1CF6CA12E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5378256"/>
        <c:axId val="1115378736"/>
      </c:barChart>
      <c:catAx>
        <c:axId val="111537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8736"/>
        <c:crosses val="autoZero"/>
        <c:auto val="1"/>
        <c:lblAlgn val="ctr"/>
        <c:lblOffset val="100"/>
        <c:noMultiLvlLbl val="0"/>
      </c:catAx>
      <c:valAx>
        <c:axId val="11153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N_cons e</a:t>
            </a:r>
            <a:r>
              <a:rPr lang="en-US" baseline="0"/>
              <a:t> N_var per DM e RB (n = 5, m = 5)</a:t>
            </a:r>
            <a:endParaRPr lang="en-US"/>
          </a:p>
        </c:rich>
      </c:tx>
      <c:layout>
        <c:manualLayout>
          <c:xMode val="edge"/>
          <c:yMode val="edge"/>
          <c:x val="0.20325957910366024"/>
          <c:y val="2.55036553565876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'Valutazione ottimi'!$C$170</c:f>
              <c:strCache>
                <c:ptCount val="1"/>
                <c:pt idx="0">
                  <c:v>DM</c:v>
                </c:pt>
              </c:strCache>
            </c:strRef>
          </c:tx>
          <c:spPr>
            <a:solidFill>
              <a:schemeClr val="accent3"/>
            </a:solidFill>
            <a:ln w="9525">
              <a:noFill/>
              <a:prstDash val="lgDash"/>
            </a:ln>
            <a:effectLst/>
          </c:spPr>
          <c:invertIfNegative val="0"/>
          <c:cat>
            <c:strRef>
              <c:f>'Valutazione ottimi'!$B$171:$B$172</c:f>
              <c:strCache>
                <c:ptCount val="2"/>
                <c:pt idx="0">
                  <c:v>N_var</c:v>
                </c:pt>
                <c:pt idx="1">
                  <c:v>N_cons</c:v>
                </c:pt>
              </c:strCache>
            </c:strRef>
          </c:cat>
          <c:val>
            <c:numRef>
              <c:f>'Valutazione ottimi'!$C$171:$C$172</c:f>
              <c:numCache>
                <c:formatCode>General</c:formatCode>
                <c:ptCount val="2"/>
                <c:pt idx="0">
                  <c:v>76</c:v>
                </c:pt>
                <c:pt idx="1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63-4F61-A5B9-701095AF96D5}"/>
            </c:ext>
          </c:extLst>
        </c:ser>
        <c:ser>
          <c:idx val="3"/>
          <c:order val="1"/>
          <c:tx>
            <c:strRef>
              <c:f>'Valutazione ottimi'!$D$170</c:f>
              <c:strCache>
                <c:ptCount val="1"/>
                <c:pt idx="0">
                  <c:v>RB</c:v>
                </c:pt>
              </c:strCache>
            </c:strRef>
          </c:tx>
          <c:spPr>
            <a:solidFill>
              <a:srgbClr val="7030A0"/>
            </a:solidFill>
            <a:ln w="9525">
              <a:noFill/>
              <a:prstDash val="lgDash"/>
            </a:ln>
            <a:effectLst/>
          </c:spPr>
          <c:invertIfNegative val="0"/>
          <c:cat>
            <c:strRef>
              <c:f>'Valutazione ottimi'!$B$171:$B$172</c:f>
              <c:strCache>
                <c:ptCount val="2"/>
                <c:pt idx="0">
                  <c:v>N_var</c:v>
                </c:pt>
                <c:pt idx="1">
                  <c:v>N_cons</c:v>
                </c:pt>
              </c:strCache>
            </c:strRef>
          </c:cat>
          <c:val>
            <c:numRef>
              <c:f>'Valutazione ottimi'!$D$171:$D$172</c:f>
              <c:numCache>
                <c:formatCode>General</c:formatCode>
                <c:ptCount val="2"/>
                <c:pt idx="0">
                  <c:v>156</c:v>
                </c:pt>
                <c:pt idx="1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63-4F61-A5B9-701095AF9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5378256"/>
        <c:axId val="1115378736"/>
      </c:barChart>
      <c:catAx>
        <c:axId val="111537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8736"/>
        <c:crosses val="autoZero"/>
        <c:auto val="1"/>
        <c:lblAlgn val="ctr"/>
        <c:lblOffset val="100"/>
        <c:noMultiLvlLbl val="0"/>
      </c:catAx>
      <c:valAx>
        <c:axId val="11153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Distribuzione</a:t>
            </a:r>
            <a:r>
              <a:rPr lang="en-US" sz="1400" baseline="0"/>
              <a:t> errori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(n = 5, m = 45)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LB2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'30&lt;=p_ij &lt;= 90'!$V$5:$V$12</c:f>
              <c:strCache>
                <c:ptCount val="8"/>
                <c:pt idx="0">
                  <c:v>0.00-0.05</c:v>
                </c:pt>
                <c:pt idx="1">
                  <c:v>0.05-0.10</c:v>
                </c:pt>
                <c:pt idx="2">
                  <c:v>0.10-0.15</c:v>
                </c:pt>
                <c:pt idx="3">
                  <c:v>0.15-0.20</c:v>
                </c:pt>
                <c:pt idx="4">
                  <c:v>0.20-0.25</c:v>
                </c:pt>
                <c:pt idx="5">
                  <c:v>0.25-0.30</c:v>
                </c:pt>
                <c:pt idx="6">
                  <c:v>0.30-0.35</c:v>
                </c:pt>
                <c:pt idx="7">
                  <c:v>0.35-1</c:v>
                </c:pt>
              </c:strCache>
            </c:strRef>
          </c:cat>
          <c:val>
            <c:numRef>
              <c:f>'30&lt;=p_ij &lt;= 90'!$T$5:$T$11</c:f>
              <c:numCache>
                <c:formatCode>General</c:formatCode>
                <c:ptCount val="7"/>
                <c:pt idx="0">
                  <c:v>0.83333333333333337</c:v>
                </c:pt>
                <c:pt idx="1">
                  <c:v>0.16666666666666666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2-44C5-9545-9B2BC63AD93A}"/>
            </c:ext>
          </c:extLst>
        </c:ser>
        <c:ser>
          <c:idx val="2"/>
          <c:order val="1"/>
          <c:tx>
            <c:v>LB3</c:v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'30&lt;=p_ij &lt;= 90'!$V$5:$V$12</c:f>
              <c:strCache>
                <c:ptCount val="8"/>
                <c:pt idx="0">
                  <c:v>0.00-0.05</c:v>
                </c:pt>
                <c:pt idx="1">
                  <c:v>0.05-0.10</c:v>
                </c:pt>
                <c:pt idx="2">
                  <c:v>0.10-0.15</c:v>
                </c:pt>
                <c:pt idx="3">
                  <c:v>0.15-0.20</c:v>
                </c:pt>
                <c:pt idx="4">
                  <c:v>0.20-0.25</c:v>
                </c:pt>
                <c:pt idx="5">
                  <c:v>0.25-0.30</c:v>
                </c:pt>
                <c:pt idx="6">
                  <c:v>0.30-0.35</c:v>
                </c:pt>
                <c:pt idx="7">
                  <c:v>0.35-1</c:v>
                </c:pt>
              </c:strCache>
            </c:strRef>
          </c:cat>
          <c:val>
            <c:numRef>
              <c:f>'30&lt;=p_ij &lt;= 90'!$U$5:$U$11</c:f>
              <c:numCache>
                <c:formatCode>General</c:formatCode>
                <c:ptCount val="7"/>
                <c:pt idx="0">
                  <c:v>0.76666666666666672</c:v>
                </c:pt>
                <c:pt idx="1">
                  <c:v>0.23333333333333334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12-44C5-9545-9B2BC63AD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384207"/>
        <c:axId val="1095383727"/>
      </c:barChart>
      <c:catAx>
        <c:axId val="109538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3727"/>
        <c:crosses val="autoZero"/>
        <c:auto val="1"/>
        <c:lblAlgn val="ctr"/>
        <c:lblOffset val="100"/>
        <c:noMultiLvlLbl val="0"/>
      </c:catAx>
      <c:valAx>
        <c:axId val="109538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Tempi</a:t>
            </a:r>
            <a:r>
              <a:rPr lang="en-US" baseline="0"/>
              <a:t> di calcolo SHBT (n = 5, m = 45)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yVal>
            <c:numRef>
              <c:f>'30&lt;=p_ij &lt;= 90'!$I$4:$I$33</c:f>
              <c:numCache>
                <c:formatCode>General</c:formatCode>
                <c:ptCount val="30"/>
                <c:pt idx="0">
                  <c:v>51.609000000000002</c:v>
                </c:pt>
                <c:pt idx="1">
                  <c:v>52.297000000000004</c:v>
                </c:pt>
                <c:pt idx="2">
                  <c:v>60.968999999999994</c:v>
                </c:pt>
                <c:pt idx="3">
                  <c:v>64.062000000000012</c:v>
                </c:pt>
                <c:pt idx="4">
                  <c:v>59.031999999999982</c:v>
                </c:pt>
                <c:pt idx="5">
                  <c:v>59.73399999999998</c:v>
                </c:pt>
                <c:pt idx="6">
                  <c:v>58.89100000000002</c:v>
                </c:pt>
                <c:pt idx="7">
                  <c:v>59.670999999999992</c:v>
                </c:pt>
                <c:pt idx="8">
                  <c:v>60.687999999999988</c:v>
                </c:pt>
                <c:pt idx="9">
                  <c:v>59.734000000000037</c:v>
                </c:pt>
                <c:pt idx="10">
                  <c:v>58.547000000000025</c:v>
                </c:pt>
                <c:pt idx="11">
                  <c:v>58.937999999999988</c:v>
                </c:pt>
                <c:pt idx="12">
                  <c:v>63.077999999999975</c:v>
                </c:pt>
                <c:pt idx="13">
                  <c:v>59.889999999999986</c:v>
                </c:pt>
                <c:pt idx="14">
                  <c:v>59.687999999999988</c:v>
                </c:pt>
                <c:pt idx="15">
                  <c:v>61.375</c:v>
                </c:pt>
                <c:pt idx="16">
                  <c:v>61.969000000000051</c:v>
                </c:pt>
                <c:pt idx="17">
                  <c:v>60.061999999999898</c:v>
                </c:pt>
                <c:pt idx="18">
                  <c:v>61.281000000000176</c:v>
                </c:pt>
                <c:pt idx="19">
                  <c:v>60.218999999999824</c:v>
                </c:pt>
                <c:pt idx="20">
                  <c:v>61.75</c:v>
                </c:pt>
                <c:pt idx="21">
                  <c:v>59.219000000000051</c:v>
                </c:pt>
                <c:pt idx="22">
                  <c:v>60.312000000000126</c:v>
                </c:pt>
                <c:pt idx="23">
                  <c:v>59.5</c:v>
                </c:pt>
                <c:pt idx="24">
                  <c:v>62.125</c:v>
                </c:pt>
                <c:pt idx="25">
                  <c:v>65.75</c:v>
                </c:pt>
                <c:pt idx="26">
                  <c:v>64.593999999999824</c:v>
                </c:pt>
                <c:pt idx="27">
                  <c:v>62.375</c:v>
                </c:pt>
                <c:pt idx="28">
                  <c:v>62.844000000000051</c:v>
                </c:pt>
                <c:pt idx="29">
                  <c:v>63.422000000000025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BB-4232-A822-2325BAD89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Tempi</a:t>
            </a:r>
            <a:r>
              <a:rPr lang="en-US" baseline="0"/>
              <a:t> di calcolo SHBT (n = 9, m = 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yVal>
            <c:numRef>
              <c:f>'30&lt;=p_ij &lt;= 90'!$I$62:$I$91</c:f>
              <c:numCache>
                <c:formatCode>General</c:formatCode>
                <c:ptCount val="30"/>
                <c:pt idx="0">
                  <c:v>24.61</c:v>
                </c:pt>
                <c:pt idx="1">
                  <c:v>22.578000000000003</c:v>
                </c:pt>
                <c:pt idx="2">
                  <c:v>26.108999999999995</c:v>
                </c:pt>
                <c:pt idx="3">
                  <c:v>30.75</c:v>
                </c:pt>
                <c:pt idx="4">
                  <c:v>27.031000000000006</c:v>
                </c:pt>
                <c:pt idx="5">
                  <c:v>29.468999999999994</c:v>
                </c:pt>
                <c:pt idx="6">
                  <c:v>30.140999999999991</c:v>
                </c:pt>
                <c:pt idx="7">
                  <c:v>30.531000000000006</c:v>
                </c:pt>
                <c:pt idx="8">
                  <c:v>37.75</c:v>
                </c:pt>
                <c:pt idx="9">
                  <c:v>38.937000000000012</c:v>
                </c:pt>
                <c:pt idx="10">
                  <c:v>39.937999999999988</c:v>
                </c:pt>
                <c:pt idx="11">
                  <c:v>39.5</c:v>
                </c:pt>
                <c:pt idx="12">
                  <c:v>42.343999999999994</c:v>
                </c:pt>
                <c:pt idx="13">
                  <c:v>36.625</c:v>
                </c:pt>
                <c:pt idx="14">
                  <c:v>30.625</c:v>
                </c:pt>
                <c:pt idx="15">
                  <c:v>29.139999999999986</c:v>
                </c:pt>
                <c:pt idx="16">
                  <c:v>29.062999999999988</c:v>
                </c:pt>
                <c:pt idx="17">
                  <c:v>31.953000000000088</c:v>
                </c:pt>
                <c:pt idx="18">
                  <c:v>30.061999999999898</c:v>
                </c:pt>
                <c:pt idx="19">
                  <c:v>43.657000000000039</c:v>
                </c:pt>
                <c:pt idx="20">
                  <c:v>30.164999999999999</c:v>
                </c:pt>
                <c:pt idx="21">
                  <c:v>44.584000000000003</c:v>
                </c:pt>
                <c:pt idx="22">
                  <c:v>51.253999999999998</c:v>
                </c:pt>
                <c:pt idx="23">
                  <c:v>22.84</c:v>
                </c:pt>
                <c:pt idx="24">
                  <c:v>25.54</c:v>
                </c:pt>
                <c:pt idx="25">
                  <c:v>27.864999999999998</c:v>
                </c:pt>
                <c:pt idx="26">
                  <c:v>31.247</c:v>
                </c:pt>
                <c:pt idx="27">
                  <c:v>40.905999999999949</c:v>
                </c:pt>
                <c:pt idx="28">
                  <c:v>56.079000000000178</c:v>
                </c:pt>
                <c:pt idx="29">
                  <c:v>56.875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87-495D-8CDD-137109039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Confronto valori</a:t>
            </a:r>
            <a:r>
              <a:rPr lang="en-US" sz="1400" baseline="0"/>
              <a:t> assoluti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(n = 5, m = 45)</a:t>
            </a:r>
            <a:endParaRPr lang="en-US" sz="1400"/>
          </a:p>
        </c:rich>
      </c:tx>
      <c:layout>
        <c:manualLayout>
          <c:xMode val="edge"/>
          <c:yMode val="edge"/>
          <c:x val="0.22954667705601986"/>
          <c:y val="4.66821105904911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LB2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yVal>
            <c:numRef>
              <c:f>'30&lt;=p_ij &lt;= 90'!$K$4:$K$33</c:f>
              <c:numCache>
                <c:formatCode>General</c:formatCode>
                <c:ptCount val="30"/>
                <c:pt idx="0">
                  <c:v>2832</c:v>
                </c:pt>
                <c:pt idx="1">
                  <c:v>2816</c:v>
                </c:pt>
                <c:pt idx="2">
                  <c:v>2886</c:v>
                </c:pt>
                <c:pt idx="3">
                  <c:v>2826</c:v>
                </c:pt>
                <c:pt idx="4">
                  <c:v>2773</c:v>
                </c:pt>
                <c:pt idx="5">
                  <c:v>2841</c:v>
                </c:pt>
                <c:pt idx="6">
                  <c:v>2728</c:v>
                </c:pt>
                <c:pt idx="7">
                  <c:v>2857</c:v>
                </c:pt>
                <c:pt idx="8">
                  <c:v>2791</c:v>
                </c:pt>
                <c:pt idx="9">
                  <c:v>2903</c:v>
                </c:pt>
                <c:pt idx="10">
                  <c:v>2845</c:v>
                </c:pt>
                <c:pt idx="11">
                  <c:v>2863</c:v>
                </c:pt>
                <c:pt idx="12">
                  <c:v>2768</c:v>
                </c:pt>
                <c:pt idx="13">
                  <c:v>2824</c:v>
                </c:pt>
                <c:pt idx="14">
                  <c:v>2740</c:v>
                </c:pt>
                <c:pt idx="15">
                  <c:v>2836</c:v>
                </c:pt>
                <c:pt idx="16">
                  <c:v>2831</c:v>
                </c:pt>
                <c:pt idx="17">
                  <c:v>2808</c:v>
                </c:pt>
                <c:pt idx="18">
                  <c:v>2829</c:v>
                </c:pt>
                <c:pt idx="19">
                  <c:v>2800</c:v>
                </c:pt>
                <c:pt idx="20">
                  <c:v>2787</c:v>
                </c:pt>
                <c:pt idx="21">
                  <c:v>2845</c:v>
                </c:pt>
                <c:pt idx="22">
                  <c:v>3049</c:v>
                </c:pt>
                <c:pt idx="23">
                  <c:v>2813</c:v>
                </c:pt>
                <c:pt idx="24">
                  <c:v>2821</c:v>
                </c:pt>
                <c:pt idx="25">
                  <c:v>2853</c:v>
                </c:pt>
                <c:pt idx="26">
                  <c:v>2861</c:v>
                </c:pt>
                <c:pt idx="27">
                  <c:v>2800</c:v>
                </c:pt>
                <c:pt idx="28">
                  <c:v>2851</c:v>
                </c:pt>
                <c:pt idx="29">
                  <c:v>2928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BE-470F-9339-91A4336B3640}"/>
            </c:ext>
          </c:extLst>
        </c:ser>
        <c:ser>
          <c:idx val="2"/>
          <c:order val="1"/>
          <c:tx>
            <c:v>UB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'30&lt;=p_ij &lt;= 90'!$J$4:$J$33</c:f>
              <c:numCache>
                <c:formatCode>General</c:formatCode>
                <c:ptCount val="30"/>
                <c:pt idx="0">
                  <c:v>2949</c:v>
                </c:pt>
                <c:pt idx="1">
                  <c:v>2911</c:v>
                </c:pt>
                <c:pt idx="2">
                  <c:v>3119</c:v>
                </c:pt>
                <c:pt idx="3">
                  <c:v>2965</c:v>
                </c:pt>
                <c:pt idx="4">
                  <c:v>2794</c:v>
                </c:pt>
                <c:pt idx="5">
                  <c:v>2920</c:v>
                </c:pt>
                <c:pt idx="6">
                  <c:v>2824</c:v>
                </c:pt>
                <c:pt idx="7">
                  <c:v>2919</c:v>
                </c:pt>
                <c:pt idx="8">
                  <c:v>2824</c:v>
                </c:pt>
                <c:pt idx="9">
                  <c:v>2975</c:v>
                </c:pt>
                <c:pt idx="10">
                  <c:v>2897</c:v>
                </c:pt>
                <c:pt idx="11">
                  <c:v>3011</c:v>
                </c:pt>
                <c:pt idx="12">
                  <c:v>2829</c:v>
                </c:pt>
                <c:pt idx="13">
                  <c:v>2930</c:v>
                </c:pt>
                <c:pt idx="14">
                  <c:v>2833</c:v>
                </c:pt>
                <c:pt idx="15">
                  <c:v>3051</c:v>
                </c:pt>
                <c:pt idx="16">
                  <c:v>2895</c:v>
                </c:pt>
                <c:pt idx="17">
                  <c:v>2942</c:v>
                </c:pt>
                <c:pt idx="18">
                  <c:v>2919</c:v>
                </c:pt>
                <c:pt idx="19">
                  <c:v>2956</c:v>
                </c:pt>
                <c:pt idx="20">
                  <c:v>2865</c:v>
                </c:pt>
                <c:pt idx="21">
                  <c:v>2961</c:v>
                </c:pt>
                <c:pt idx="22">
                  <c:v>3182</c:v>
                </c:pt>
                <c:pt idx="23">
                  <c:v>2836</c:v>
                </c:pt>
                <c:pt idx="24">
                  <c:v>2877</c:v>
                </c:pt>
                <c:pt idx="25">
                  <c:v>2935</c:v>
                </c:pt>
                <c:pt idx="26">
                  <c:v>2990</c:v>
                </c:pt>
                <c:pt idx="27">
                  <c:v>2889</c:v>
                </c:pt>
                <c:pt idx="28">
                  <c:v>3032</c:v>
                </c:pt>
                <c:pt idx="29">
                  <c:v>2986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BE-470F-9339-91A4336B3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Distribuzione</a:t>
            </a:r>
            <a:r>
              <a:rPr lang="en-US" sz="1400" baseline="0"/>
              <a:t> errori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(n = 9, m = 25)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LB2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'30&lt;=p_ij &lt;= 90'!$V$63:$V$70</c:f>
              <c:strCache>
                <c:ptCount val="8"/>
                <c:pt idx="0">
                  <c:v>0.00-0.05</c:v>
                </c:pt>
                <c:pt idx="1">
                  <c:v>0.05-0.10</c:v>
                </c:pt>
                <c:pt idx="2">
                  <c:v>0.10-0.15</c:v>
                </c:pt>
                <c:pt idx="3">
                  <c:v>0.15-0.20</c:v>
                </c:pt>
                <c:pt idx="4">
                  <c:v>0.20-0.25</c:v>
                </c:pt>
                <c:pt idx="5">
                  <c:v>0.25-0.30</c:v>
                </c:pt>
                <c:pt idx="6">
                  <c:v>0.30-0.35</c:v>
                </c:pt>
                <c:pt idx="7">
                  <c:v>0.35-0.40</c:v>
                </c:pt>
              </c:strCache>
            </c:strRef>
          </c:cat>
          <c:val>
            <c:numRef>
              <c:f>'30&lt;=p_ij &lt;= 90'!$T$63:$T$70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0.46666666666666667</c:v>
                </c:pt>
                <c:pt idx="4">
                  <c:v>0.3</c:v>
                </c:pt>
                <c:pt idx="5">
                  <c:v>3.3333333333333333E-2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4-4C66-98E4-C71CD6E814D9}"/>
            </c:ext>
          </c:extLst>
        </c:ser>
        <c:ser>
          <c:idx val="2"/>
          <c:order val="1"/>
          <c:tx>
            <c:v>LB3</c:v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'30&lt;=p_ij &lt;= 90'!$V$63:$V$70</c:f>
              <c:strCache>
                <c:ptCount val="8"/>
                <c:pt idx="0">
                  <c:v>0.00-0.05</c:v>
                </c:pt>
                <c:pt idx="1">
                  <c:v>0.05-0.10</c:v>
                </c:pt>
                <c:pt idx="2">
                  <c:v>0.10-0.15</c:v>
                </c:pt>
                <c:pt idx="3">
                  <c:v>0.15-0.20</c:v>
                </c:pt>
                <c:pt idx="4">
                  <c:v>0.20-0.25</c:v>
                </c:pt>
                <c:pt idx="5">
                  <c:v>0.25-0.30</c:v>
                </c:pt>
                <c:pt idx="6">
                  <c:v>0.30-0.35</c:v>
                </c:pt>
                <c:pt idx="7">
                  <c:v>0.35-0.40</c:v>
                </c:pt>
              </c:strCache>
            </c:strRef>
          </c:cat>
          <c:val>
            <c:numRef>
              <c:f>'30&lt;=p_ij &lt;= 90'!$U$63:$U$70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0.3</c:v>
                </c:pt>
                <c:pt idx="4">
                  <c:v>0.4</c:v>
                </c:pt>
                <c:pt idx="5">
                  <c:v>0.16666666666666666</c:v>
                </c:pt>
                <c:pt idx="6">
                  <c:v>3.3333333333333333E-2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24-4C66-98E4-C71CD6E81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384207"/>
        <c:axId val="1095383727"/>
      </c:barChart>
      <c:catAx>
        <c:axId val="109538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3727"/>
        <c:crosses val="autoZero"/>
        <c:auto val="1"/>
        <c:lblAlgn val="ctr"/>
        <c:lblOffset val="100"/>
        <c:noMultiLvlLbl val="0"/>
      </c:catAx>
      <c:valAx>
        <c:axId val="109538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Confronto valori</a:t>
            </a:r>
            <a:r>
              <a:rPr lang="en-US" sz="1400" baseline="0"/>
              <a:t> assoluti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n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= 9, m = 25)</a:t>
            </a:r>
            <a:endParaRPr lang="en-US" sz="1400"/>
          </a:p>
        </c:rich>
      </c:tx>
      <c:layout>
        <c:manualLayout>
          <c:xMode val="edge"/>
          <c:yMode val="edge"/>
          <c:x val="0.21275506122879811"/>
          <c:y val="3.83108842750468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LB2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yVal>
            <c:numRef>
              <c:f>'30&lt;=p_ij &lt;= 90'!$K$62:$K$91</c:f>
              <c:numCache>
                <c:formatCode>General</c:formatCode>
                <c:ptCount val="30"/>
                <c:pt idx="0">
                  <c:v>1641</c:v>
                </c:pt>
                <c:pt idx="1">
                  <c:v>1662</c:v>
                </c:pt>
                <c:pt idx="2">
                  <c:v>1664</c:v>
                </c:pt>
                <c:pt idx="3">
                  <c:v>1702</c:v>
                </c:pt>
                <c:pt idx="4">
                  <c:v>1605</c:v>
                </c:pt>
                <c:pt idx="5">
                  <c:v>1676</c:v>
                </c:pt>
                <c:pt idx="6">
                  <c:v>1621</c:v>
                </c:pt>
                <c:pt idx="7">
                  <c:v>1654</c:v>
                </c:pt>
                <c:pt idx="8">
                  <c:v>1668</c:v>
                </c:pt>
                <c:pt idx="9">
                  <c:v>1653</c:v>
                </c:pt>
                <c:pt idx="10">
                  <c:v>1677</c:v>
                </c:pt>
                <c:pt idx="11">
                  <c:v>1669</c:v>
                </c:pt>
                <c:pt idx="12">
                  <c:v>1572</c:v>
                </c:pt>
                <c:pt idx="13">
                  <c:v>1662</c:v>
                </c:pt>
                <c:pt idx="14">
                  <c:v>1661</c:v>
                </c:pt>
                <c:pt idx="15">
                  <c:v>1719</c:v>
                </c:pt>
                <c:pt idx="16">
                  <c:v>1573</c:v>
                </c:pt>
                <c:pt idx="17">
                  <c:v>1692</c:v>
                </c:pt>
                <c:pt idx="18">
                  <c:v>1654</c:v>
                </c:pt>
                <c:pt idx="19">
                  <c:v>1626</c:v>
                </c:pt>
                <c:pt idx="20">
                  <c:v>1677</c:v>
                </c:pt>
                <c:pt idx="21">
                  <c:v>1672</c:v>
                </c:pt>
                <c:pt idx="22">
                  <c:v>1737</c:v>
                </c:pt>
                <c:pt idx="23">
                  <c:v>1644</c:v>
                </c:pt>
                <c:pt idx="24">
                  <c:v>1663</c:v>
                </c:pt>
                <c:pt idx="25">
                  <c:v>1668</c:v>
                </c:pt>
                <c:pt idx="26">
                  <c:v>1682</c:v>
                </c:pt>
                <c:pt idx="27">
                  <c:v>1691</c:v>
                </c:pt>
                <c:pt idx="28">
                  <c:v>1681</c:v>
                </c:pt>
                <c:pt idx="29">
                  <c:v>1682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4C-4AFF-AF1F-A805375F1607}"/>
            </c:ext>
          </c:extLst>
        </c:ser>
        <c:ser>
          <c:idx val="2"/>
          <c:order val="1"/>
          <c:tx>
            <c:v>UB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'30&lt;=p_ij &lt;= 90'!$J$62:$J$91</c:f>
              <c:numCache>
                <c:formatCode>General</c:formatCode>
                <c:ptCount val="30"/>
                <c:pt idx="0">
                  <c:v>1951</c:v>
                </c:pt>
                <c:pt idx="1">
                  <c:v>1976</c:v>
                </c:pt>
                <c:pt idx="2">
                  <c:v>1922</c:v>
                </c:pt>
                <c:pt idx="3">
                  <c:v>2027</c:v>
                </c:pt>
                <c:pt idx="4">
                  <c:v>1880</c:v>
                </c:pt>
                <c:pt idx="5">
                  <c:v>2034</c:v>
                </c:pt>
                <c:pt idx="6">
                  <c:v>1866</c:v>
                </c:pt>
                <c:pt idx="7">
                  <c:v>2037</c:v>
                </c:pt>
                <c:pt idx="8">
                  <c:v>1942</c:v>
                </c:pt>
                <c:pt idx="9">
                  <c:v>2006</c:v>
                </c:pt>
                <c:pt idx="10">
                  <c:v>2055</c:v>
                </c:pt>
                <c:pt idx="11">
                  <c:v>1983</c:v>
                </c:pt>
                <c:pt idx="12">
                  <c:v>1800</c:v>
                </c:pt>
                <c:pt idx="13">
                  <c:v>2020</c:v>
                </c:pt>
                <c:pt idx="14">
                  <c:v>1891</c:v>
                </c:pt>
                <c:pt idx="15">
                  <c:v>1963</c:v>
                </c:pt>
                <c:pt idx="16">
                  <c:v>1845</c:v>
                </c:pt>
                <c:pt idx="17">
                  <c:v>2068</c:v>
                </c:pt>
                <c:pt idx="18">
                  <c:v>2023</c:v>
                </c:pt>
                <c:pt idx="19">
                  <c:v>1907</c:v>
                </c:pt>
                <c:pt idx="20">
                  <c:v>1994</c:v>
                </c:pt>
                <c:pt idx="21">
                  <c:v>2044</c:v>
                </c:pt>
                <c:pt idx="22">
                  <c:v>1991</c:v>
                </c:pt>
                <c:pt idx="23">
                  <c:v>1924</c:v>
                </c:pt>
                <c:pt idx="24">
                  <c:v>2099</c:v>
                </c:pt>
                <c:pt idx="25">
                  <c:v>2047</c:v>
                </c:pt>
                <c:pt idx="26">
                  <c:v>1925</c:v>
                </c:pt>
                <c:pt idx="27">
                  <c:v>1994</c:v>
                </c:pt>
                <c:pt idx="28">
                  <c:v>1976</c:v>
                </c:pt>
                <c:pt idx="29">
                  <c:v>1881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4C-4AFF-AF1F-A805375F1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Tempi</a:t>
            </a:r>
            <a:r>
              <a:rPr lang="en-US" baseline="0"/>
              <a:t> di calcolo SHBT (n = 15, m =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yVal>
            <c:numRef>
              <c:f>'30&lt;=p_ij &lt;= 90'!$I$121:$I$150</c:f>
              <c:numCache>
                <c:formatCode>General</c:formatCode>
                <c:ptCount val="30"/>
                <c:pt idx="0">
                  <c:v>27.54</c:v>
                </c:pt>
                <c:pt idx="1">
                  <c:v>27.64</c:v>
                </c:pt>
                <c:pt idx="2">
                  <c:v>37.985000000000007</c:v>
                </c:pt>
                <c:pt idx="3">
                  <c:v>35.420999999999992</c:v>
                </c:pt>
                <c:pt idx="4">
                  <c:v>35.516000000000005</c:v>
                </c:pt>
                <c:pt idx="5">
                  <c:v>41.25</c:v>
                </c:pt>
                <c:pt idx="6">
                  <c:v>37.515999999999991</c:v>
                </c:pt>
                <c:pt idx="7">
                  <c:v>35.73399999999998</c:v>
                </c:pt>
                <c:pt idx="8">
                  <c:v>32.703000000000031</c:v>
                </c:pt>
                <c:pt idx="9">
                  <c:v>27.25</c:v>
                </c:pt>
                <c:pt idx="10">
                  <c:v>34.437999999999988</c:v>
                </c:pt>
                <c:pt idx="11">
                  <c:v>36.547000000000025</c:v>
                </c:pt>
                <c:pt idx="12">
                  <c:v>42.531000000000006</c:v>
                </c:pt>
                <c:pt idx="13">
                  <c:v>36.905999999999949</c:v>
                </c:pt>
                <c:pt idx="14">
                  <c:v>41.5</c:v>
                </c:pt>
                <c:pt idx="15">
                  <c:v>35.562999999999988</c:v>
                </c:pt>
                <c:pt idx="16">
                  <c:v>34.139999999999986</c:v>
                </c:pt>
                <c:pt idx="17">
                  <c:v>32.641000000000076</c:v>
                </c:pt>
                <c:pt idx="18">
                  <c:v>38.327999999999975</c:v>
                </c:pt>
                <c:pt idx="19">
                  <c:v>32.187000000000012</c:v>
                </c:pt>
                <c:pt idx="20">
                  <c:v>34.875</c:v>
                </c:pt>
                <c:pt idx="21">
                  <c:v>34.860000000000014</c:v>
                </c:pt>
                <c:pt idx="22">
                  <c:v>33.733999999999924</c:v>
                </c:pt>
                <c:pt idx="23">
                  <c:v>36.875</c:v>
                </c:pt>
                <c:pt idx="24">
                  <c:v>32.406000000000063</c:v>
                </c:pt>
                <c:pt idx="25">
                  <c:v>32.797000000000025</c:v>
                </c:pt>
                <c:pt idx="26">
                  <c:v>36.562999999999988</c:v>
                </c:pt>
                <c:pt idx="27">
                  <c:v>34.312000000000012</c:v>
                </c:pt>
                <c:pt idx="28">
                  <c:v>35.860000000000014</c:v>
                </c:pt>
                <c:pt idx="29">
                  <c:v>33.077999999999975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2E-466E-B408-EAF8DF893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Distribuzione</a:t>
            </a:r>
            <a:r>
              <a:rPr lang="en-US" sz="1400" baseline="0"/>
              <a:t> errori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(n = 15, m = 15)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LB2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'30&lt;=p_ij &lt;= 90'!$V$63:$V$70</c:f>
              <c:strCache>
                <c:ptCount val="8"/>
                <c:pt idx="0">
                  <c:v>0.00-0.05</c:v>
                </c:pt>
                <c:pt idx="1">
                  <c:v>0.05-0.10</c:v>
                </c:pt>
                <c:pt idx="2">
                  <c:v>0.10-0.15</c:v>
                </c:pt>
                <c:pt idx="3">
                  <c:v>0.15-0.20</c:v>
                </c:pt>
                <c:pt idx="4">
                  <c:v>0.20-0.25</c:v>
                </c:pt>
                <c:pt idx="5">
                  <c:v>0.25-0.30</c:v>
                </c:pt>
                <c:pt idx="6">
                  <c:v>0.30-0.35</c:v>
                </c:pt>
                <c:pt idx="7">
                  <c:v>0.35-0.40</c:v>
                </c:pt>
              </c:strCache>
            </c:strRef>
          </c:cat>
          <c:val>
            <c:numRef>
              <c:f>'30&lt;=p_ij &lt;= 90'!$T$122:$T$129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6.6666666666666666E-2</c:v>
                </c:pt>
                <c:pt idx="3">
                  <c:v>0.3</c:v>
                </c:pt>
                <c:pt idx="4">
                  <c:v>0.36666666666666664</c:v>
                </c:pt>
                <c:pt idx="5">
                  <c:v>0.26666666666666666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D-488F-AA37-15ACD8D1880F}"/>
            </c:ext>
          </c:extLst>
        </c:ser>
        <c:ser>
          <c:idx val="2"/>
          <c:order val="1"/>
          <c:tx>
            <c:v>LB3</c:v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'30&lt;=p_ij &lt;= 90'!$V$63:$V$70</c:f>
              <c:strCache>
                <c:ptCount val="8"/>
                <c:pt idx="0">
                  <c:v>0.00-0.05</c:v>
                </c:pt>
                <c:pt idx="1">
                  <c:v>0.05-0.10</c:v>
                </c:pt>
                <c:pt idx="2">
                  <c:v>0.10-0.15</c:v>
                </c:pt>
                <c:pt idx="3">
                  <c:v>0.15-0.20</c:v>
                </c:pt>
                <c:pt idx="4">
                  <c:v>0.20-0.25</c:v>
                </c:pt>
                <c:pt idx="5">
                  <c:v>0.25-0.30</c:v>
                </c:pt>
                <c:pt idx="6">
                  <c:v>0.30-0.35</c:v>
                </c:pt>
                <c:pt idx="7">
                  <c:v>0.35-0.40</c:v>
                </c:pt>
              </c:strCache>
            </c:strRef>
          </c:cat>
          <c:val>
            <c:numRef>
              <c:f>'30&lt;=p_ij &lt;= 90'!$U$122:$U$129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6.6666666666666666E-2</c:v>
                </c:pt>
                <c:pt idx="6">
                  <c:v>0.36666666666666664</c:v>
                </c:pt>
                <c:pt idx="7">
                  <c:v>0.56666666666666665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CD-488F-AA37-15ACD8D18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384207"/>
        <c:axId val="1095383727"/>
      </c:barChart>
      <c:catAx>
        <c:axId val="109538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3727"/>
        <c:crosses val="autoZero"/>
        <c:auto val="1"/>
        <c:lblAlgn val="ctr"/>
        <c:lblOffset val="100"/>
        <c:noMultiLvlLbl val="0"/>
      </c:catAx>
      <c:valAx>
        <c:axId val="109538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Confronto valori</a:t>
            </a:r>
            <a:r>
              <a:rPr lang="en-US" sz="1400" baseline="0"/>
              <a:t> assoluti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(n = 15, m = 15)</a:t>
            </a:r>
            <a:endParaRPr lang="en-US" sz="1400"/>
          </a:p>
        </c:rich>
      </c:tx>
      <c:layout>
        <c:manualLayout>
          <c:xMode val="edge"/>
          <c:yMode val="edge"/>
          <c:x val="0.26872711398620397"/>
          <c:y val="4.2496511438592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LB2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yVal>
            <c:numRef>
              <c:f>'30&lt;=p_ij &lt;= 90'!$K$121:$K$150</c:f>
              <c:numCache>
                <c:formatCode>General</c:formatCode>
                <c:ptCount val="30"/>
                <c:pt idx="0">
                  <c:v>1222</c:v>
                </c:pt>
                <c:pt idx="1">
                  <c:v>1149</c:v>
                </c:pt>
                <c:pt idx="2">
                  <c:v>1335</c:v>
                </c:pt>
                <c:pt idx="3">
                  <c:v>1303</c:v>
                </c:pt>
                <c:pt idx="4">
                  <c:v>1192</c:v>
                </c:pt>
                <c:pt idx="5">
                  <c:v>1332</c:v>
                </c:pt>
                <c:pt idx="6">
                  <c:v>1181</c:v>
                </c:pt>
                <c:pt idx="7">
                  <c:v>1170</c:v>
                </c:pt>
                <c:pt idx="8">
                  <c:v>1234</c:v>
                </c:pt>
                <c:pt idx="9">
                  <c:v>1176</c:v>
                </c:pt>
                <c:pt idx="10">
                  <c:v>1183</c:v>
                </c:pt>
                <c:pt idx="11">
                  <c:v>1277</c:v>
                </c:pt>
                <c:pt idx="12">
                  <c:v>1278</c:v>
                </c:pt>
                <c:pt idx="13">
                  <c:v>1190</c:v>
                </c:pt>
                <c:pt idx="14">
                  <c:v>1385</c:v>
                </c:pt>
                <c:pt idx="15">
                  <c:v>1212</c:v>
                </c:pt>
                <c:pt idx="16">
                  <c:v>1232</c:v>
                </c:pt>
                <c:pt idx="17">
                  <c:v>1237</c:v>
                </c:pt>
                <c:pt idx="18">
                  <c:v>1159</c:v>
                </c:pt>
                <c:pt idx="19">
                  <c:v>1274</c:v>
                </c:pt>
                <c:pt idx="20">
                  <c:v>1256</c:v>
                </c:pt>
                <c:pt idx="21">
                  <c:v>1231</c:v>
                </c:pt>
                <c:pt idx="22">
                  <c:v>1205</c:v>
                </c:pt>
                <c:pt idx="23">
                  <c:v>1330</c:v>
                </c:pt>
                <c:pt idx="24">
                  <c:v>1171</c:v>
                </c:pt>
                <c:pt idx="25">
                  <c:v>1187</c:v>
                </c:pt>
                <c:pt idx="26">
                  <c:v>1238</c:v>
                </c:pt>
                <c:pt idx="27">
                  <c:v>1161</c:v>
                </c:pt>
                <c:pt idx="28">
                  <c:v>1225</c:v>
                </c:pt>
                <c:pt idx="29">
                  <c:v>1241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74-4DD3-9D9E-6A5272FF401D}"/>
            </c:ext>
          </c:extLst>
        </c:ser>
        <c:ser>
          <c:idx val="2"/>
          <c:order val="1"/>
          <c:tx>
            <c:v>UB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'30&lt;=p_ij &lt;= 90'!$J$121:$J$150</c:f>
              <c:numCache>
                <c:formatCode>General</c:formatCode>
                <c:ptCount val="30"/>
                <c:pt idx="0">
                  <c:v>1646</c:v>
                </c:pt>
                <c:pt idx="1">
                  <c:v>1774</c:v>
                </c:pt>
                <c:pt idx="2">
                  <c:v>1990</c:v>
                </c:pt>
                <c:pt idx="3">
                  <c:v>1713</c:v>
                </c:pt>
                <c:pt idx="4">
                  <c:v>1624</c:v>
                </c:pt>
                <c:pt idx="5">
                  <c:v>1684</c:v>
                </c:pt>
                <c:pt idx="6">
                  <c:v>1724</c:v>
                </c:pt>
                <c:pt idx="7">
                  <c:v>1569</c:v>
                </c:pt>
                <c:pt idx="8">
                  <c:v>1750</c:v>
                </c:pt>
                <c:pt idx="9">
                  <c:v>1831</c:v>
                </c:pt>
                <c:pt idx="10">
                  <c:v>1818</c:v>
                </c:pt>
                <c:pt idx="11">
                  <c:v>1879</c:v>
                </c:pt>
                <c:pt idx="12">
                  <c:v>1904</c:v>
                </c:pt>
                <c:pt idx="13">
                  <c:v>1606</c:v>
                </c:pt>
                <c:pt idx="14">
                  <c:v>1880</c:v>
                </c:pt>
                <c:pt idx="15">
                  <c:v>1779</c:v>
                </c:pt>
                <c:pt idx="16">
                  <c:v>1880</c:v>
                </c:pt>
                <c:pt idx="17">
                  <c:v>1779</c:v>
                </c:pt>
                <c:pt idx="18">
                  <c:v>1788</c:v>
                </c:pt>
                <c:pt idx="19">
                  <c:v>1659</c:v>
                </c:pt>
                <c:pt idx="20">
                  <c:v>1728</c:v>
                </c:pt>
                <c:pt idx="21">
                  <c:v>1821</c:v>
                </c:pt>
                <c:pt idx="22">
                  <c:v>1724</c:v>
                </c:pt>
                <c:pt idx="23">
                  <c:v>1640</c:v>
                </c:pt>
                <c:pt idx="24">
                  <c:v>1768</c:v>
                </c:pt>
                <c:pt idx="25">
                  <c:v>1785</c:v>
                </c:pt>
                <c:pt idx="26">
                  <c:v>1823</c:v>
                </c:pt>
                <c:pt idx="27">
                  <c:v>1688</c:v>
                </c:pt>
                <c:pt idx="28">
                  <c:v>1711</c:v>
                </c:pt>
                <c:pt idx="29">
                  <c:v>1952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74-4DD3-9D9E-6A5272FF4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Andamento</a:t>
            </a:r>
            <a:r>
              <a:rPr lang="en-US" baseline="0"/>
              <a:t> Scarti bound con dim istanza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'30&lt;=p_ij &lt;= 90'!$C$314</c:f>
              <c:strCache>
                <c:ptCount val="1"/>
                <c:pt idx="0">
                  <c:v>LB2</c:v>
                </c:pt>
              </c:strCache>
            </c:strRef>
          </c:tx>
          <c:spPr>
            <a:ln w="952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'30&lt;=p_ij &lt;= 90'!$B$315:$B$319</c:f>
              <c:strCache>
                <c:ptCount val="5"/>
                <c:pt idx="0">
                  <c:v>n=5,m=45</c:v>
                </c:pt>
                <c:pt idx="1">
                  <c:v>n=9,m=25</c:v>
                </c:pt>
                <c:pt idx="2">
                  <c:v>n=15,m=15</c:v>
                </c:pt>
                <c:pt idx="3">
                  <c:v>n=25,m=9</c:v>
                </c:pt>
                <c:pt idx="4">
                  <c:v>n=45,m=5</c:v>
                </c:pt>
              </c:strCache>
            </c:strRef>
          </c:cat>
          <c:val>
            <c:numRef>
              <c:f>'30&lt;=p_ij &lt;= 90'!$C$315:$C$319</c:f>
              <c:numCache>
                <c:formatCode>General</c:formatCode>
                <c:ptCount val="5"/>
                <c:pt idx="0">
                  <c:v>3.5528197097994089E-2</c:v>
                </c:pt>
                <c:pt idx="1">
                  <c:v>0.18498875297554862</c:v>
                </c:pt>
                <c:pt idx="2">
                  <c:v>0.43364274333399117</c:v>
                </c:pt>
                <c:pt idx="3">
                  <c:v>0.26261433986202209</c:v>
                </c:pt>
                <c:pt idx="4">
                  <c:v>9.4836919885364968E-2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37-4A46-B817-8F7594D2260C}"/>
            </c:ext>
          </c:extLst>
        </c:ser>
        <c:ser>
          <c:idx val="2"/>
          <c:order val="1"/>
          <c:tx>
            <c:strRef>
              <c:f>'30&lt;=p_ij &lt;= 90'!$D$314</c:f>
              <c:strCache>
                <c:ptCount val="1"/>
                <c:pt idx="0">
                  <c:v>LB3</c:v>
                </c:pt>
              </c:strCache>
            </c:strRef>
          </c:tx>
          <c:spPr>
            <a:ln w="12700" cap="rnd">
              <a:solidFill>
                <a:schemeClr val="accent2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'30&lt;=p_ij &lt;= 90'!$B$315:$B$319</c:f>
              <c:strCache>
                <c:ptCount val="5"/>
                <c:pt idx="0">
                  <c:v>n=5,m=45</c:v>
                </c:pt>
                <c:pt idx="1">
                  <c:v>n=9,m=25</c:v>
                </c:pt>
                <c:pt idx="2">
                  <c:v>n=15,m=15</c:v>
                </c:pt>
                <c:pt idx="3">
                  <c:v>n=25,m=9</c:v>
                </c:pt>
                <c:pt idx="4">
                  <c:v>n=45,m=5</c:v>
                </c:pt>
              </c:strCache>
            </c:strRef>
          </c:cat>
          <c:val>
            <c:numRef>
              <c:f>'30&lt;=p_ij &lt;= 90'!$D$315:$D$319</c:f>
              <c:numCache>
                <c:formatCode>General</c:formatCode>
                <c:ptCount val="5"/>
                <c:pt idx="0">
                  <c:v>4.0885335558244952E-2</c:v>
                </c:pt>
                <c:pt idx="1">
                  <c:v>0.21261622427996249</c:v>
                </c:pt>
                <c:pt idx="2">
                  <c:v>0.72315634977843646</c:v>
                </c:pt>
                <c:pt idx="3">
                  <c:v>0.26948002223606837</c:v>
                </c:pt>
                <c:pt idx="4">
                  <c:v>9.4836919885364968E-2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37-4A46-B817-8F7594D22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378256"/>
        <c:axId val="1115378736"/>
      </c:lineChart>
      <c:catAx>
        <c:axId val="111537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8736"/>
        <c:crosses val="autoZero"/>
        <c:auto val="1"/>
        <c:lblAlgn val="ctr"/>
        <c:lblOffset val="100"/>
        <c:noMultiLvlLbl val="0"/>
      </c:catAx>
      <c:valAx>
        <c:axId val="11153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Andamento</a:t>
            </a:r>
            <a:r>
              <a:rPr lang="en-US" baseline="0"/>
              <a:t> tempi con dim istanza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'30&lt;=p_ij &lt;= 90'!$E$314</c:f>
              <c:strCache>
                <c:ptCount val="1"/>
                <c:pt idx="0">
                  <c:v>TIME</c:v>
                </c:pt>
              </c:strCache>
            </c:strRef>
          </c:tx>
          <c:spPr>
            <a:ln w="9525" cap="rnd">
              <a:solidFill>
                <a:srgbClr val="0070C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'30&lt;=p_ij &lt;= 90'!$B$315:$B$319</c:f>
              <c:strCache>
                <c:ptCount val="5"/>
                <c:pt idx="0">
                  <c:v>n=5,m=45</c:v>
                </c:pt>
                <c:pt idx="1">
                  <c:v>n=9,m=25</c:v>
                </c:pt>
                <c:pt idx="2">
                  <c:v>n=15,m=15</c:v>
                </c:pt>
                <c:pt idx="3">
                  <c:v>n=25,m=9</c:v>
                </c:pt>
                <c:pt idx="4">
                  <c:v>n=45,m=5</c:v>
                </c:pt>
              </c:strCache>
            </c:strRef>
          </c:cat>
          <c:val>
            <c:numRef>
              <c:f>'30&lt;=p_ij &lt;= 90'!$E$315:$E$319</c:f>
              <c:numCache>
                <c:formatCode>General</c:formatCode>
                <c:ptCount val="5"/>
                <c:pt idx="0">
                  <c:v>60.454166666666666</c:v>
                </c:pt>
                <c:pt idx="1">
                  <c:v>34.605600000000003</c:v>
                </c:pt>
                <c:pt idx="2">
                  <c:v>34.956533333333333</c:v>
                </c:pt>
                <c:pt idx="3">
                  <c:v>37.547899999999998</c:v>
                </c:pt>
                <c:pt idx="4">
                  <c:v>36.804166666666667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DB-444C-987D-66E10681C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378256"/>
        <c:axId val="1115378736"/>
      </c:lineChart>
      <c:catAx>
        <c:axId val="111537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8736"/>
        <c:crosses val="autoZero"/>
        <c:auto val="1"/>
        <c:lblAlgn val="ctr"/>
        <c:lblOffset val="100"/>
        <c:noMultiLvlLbl val="0"/>
      </c:catAx>
      <c:valAx>
        <c:axId val="11153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tempi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Tempi</a:t>
            </a:r>
            <a:r>
              <a:rPr lang="en-US" baseline="0"/>
              <a:t> di calcolo SHBT (n = 25, m = 9)</a:t>
            </a:r>
          </a:p>
        </c:rich>
      </c:tx>
      <c:layout>
        <c:manualLayout>
          <c:xMode val="edge"/>
          <c:yMode val="edge"/>
          <c:x val="0.20537020484318727"/>
          <c:y val="2.58086192659649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yVal>
            <c:numRef>
              <c:f>'30&lt;=p_ij &lt;= 90'!$I$179:$I$208</c:f>
              <c:numCache>
                <c:formatCode>General</c:formatCode>
                <c:ptCount val="30"/>
                <c:pt idx="0">
                  <c:v>32.875</c:v>
                </c:pt>
                <c:pt idx="1">
                  <c:v>47.828000000000003</c:v>
                </c:pt>
                <c:pt idx="2">
                  <c:v>32.078000000000003</c:v>
                </c:pt>
                <c:pt idx="3">
                  <c:v>32.046999999999997</c:v>
                </c:pt>
                <c:pt idx="4">
                  <c:v>31.875</c:v>
                </c:pt>
                <c:pt idx="5">
                  <c:v>33.061999999999983</c:v>
                </c:pt>
                <c:pt idx="6">
                  <c:v>29.860000000000014</c:v>
                </c:pt>
                <c:pt idx="7">
                  <c:v>44.812000000000012</c:v>
                </c:pt>
                <c:pt idx="8">
                  <c:v>29.031999999999982</c:v>
                </c:pt>
                <c:pt idx="9">
                  <c:v>29.25</c:v>
                </c:pt>
                <c:pt idx="10">
                  <c:v>29.639999999999986</c:v>
                </c:pt>
                <c:pt idx="11">
                  <c:v>31.375</c:v>
                </c:pt>
                <c:pt idx="12">
                  <c:v>33.718999999999994</c:v>
                </c:pt>
                <c:pt idx="13">
                  <c:v>29.797000000000025</c:v>
                </c:pt>
                <c:pt idx="14">
                  <c:v>48.234000000000037</c:v>
                </c:pt>
                <c:pt idx="15">
                  <c:v>25.610000000000014</c:v>
                </c:pt>
                <c:pt idx="16">
                  <c:v>42.295999999999935</c:v>
                </c:pt>
                <c:pt idx="17">
                  <c:v>32.907000000000039</c:v>
                </c:pt>
                <c:pt idx="18">
                  <c:v>31.639999999999986</c:v>
                </c:pt>
                <c:pt idx="19">
                  <c:v>44.812999999999988</c:v>
                </c:pt>
                <c:pt idx="20">
                  <c:v>39</c:v>
                </c:pt>
                <c:pt idx="21">
                  <c:v>32.764999999999986</c:v>
                </c:pt>
                <c:pt idx="22">
                  <c:v>39.390999999999963</c:v>
                </c:pt>
                <c:pt idx="23">
                  <c:v>38.219000000000051</c:v>
                </c:pt>
                <c:pt idx="24">
                  <c:v>49.937000000000012</c:v>
                </c:pt>
                <c:pt idx="25">
                  <c:v>42.890999999999963</c:v>
                </c:pt>
                <c:pt idx="26">
                  <c:v>46.734000000000037</c:v>
                </c:pt>
                <c:pt idx="27">
                  <c:v>48.515999999999963</c:v>
                </c:pt>
                <c:pt idx="28">
                  <c:v>56.577999999999975</c:v>
                </c:pt>
                <c:pt idx="29">
                  <c:v>39.655999999999949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2-41B5-BB91-0DDC22AA7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Distribuzione</a:t>
            </a:r>
            <a:r>
              <a:rPr lang="en-US" sz="1400" baseline="0"/>
              <a:t> errori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(n = 25, m = 9)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LB2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'30&lt;=p_ij &lt;= 90'!$V$63:$V$70</c:f>
              <c:strCache>
                <c:ptCount val="8"/>
                <c:pt idx="0">
                  <c:v>0.00-0.05</c:v>
                </c:pt>
                <c:pt idx="1">
                  <c:v>0.05-0.10</c:v>
                </c:pt>
                <c:pt idx="2">
                  <c:v>0.10-0.15</c:v>
                </c:pt>
                <c:pt idx="3">
                  <c:v>0.15-0.20</c:v>
                </c:pt>
                <c:pt idx="4">
                  <c:v>0.20-0.25</c:v>
                </c:pt>
                <c:pt idx="5">
                  <c:v>0.25-0.30</c:v>
                </c:pt>
                <c:pt idx="6">
                  <c:v>0.30-0.35</c:v>
                </c:pt>
                <c:pt idx="7">
                  <c:v>0.35-0.40</c:v>
                </c:pt>
              </c:strCache>
            </c:strRef>
          </c:cat>
          <c:val>
            <c:numRef>
              <c:f>'30&lt;=p_ij &lt;= 90'!$T$180:$T$187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6.6666666666666666E-2</c:v>
                </c:pt>
                <c:pt idx="3">
                  <c:v>0.13333333333333333</c:v>
                </c:pt>
                <c:pt idx="4">
                  <c:v>0.36666666666666664</c:v>
                </c:pt>
                <c:pt idx="5">
                  <c:v>0.23333333333333334</c:v>
                </c:pt>
                <c:pt idx="6">
                  <c:v>6.6666666666666666E-2</c:v>
                </c:pt>
                <c:pt idx="7">
                  <c:v>0.13333333333333333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2-4D52-897E-0F31EBFB9262}"/>
            </c:ext>
          </c:extLst>
        </c:ser>
        <c:ser>
          <c:idx val="2"/>
          <c:order val="1"/>
          <c:tx>
            <c:v>LB3</c:v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'30&lt;=p_ij &lt;= 90'!$V$63:$V$70</c:f>
              <c:strCache>
                <c:ptCount val="8"/>
                <c:pt idx="0">
                  <c:v>0.00-0.05</c:v>
                </c:pt>
                <c:pt idx="1">
                  <c:v>0.05-0.10</c:v>
                </c:pt>
                <c:pt idx="2">
                  <c:v>0.10-0.15</c:v>
                </c:pt>
                <c:pt idx="3">
                  <c:v>0.15-0.20</c:v>
                </c:pt>
                <c:pt idx="4">
                  <c:v>0.20-0.25</c:v>
                </c:pt>
                <c:pt idx="5">
                  <c:v>0.25-0.30</c:v>
                </c:pt>
                <c:pt idx="6">
                  <c:v>0.30-0.35</c:v>
                </c:pt>
                <c:pt idx="7">
                  <c:v>0.35-0.40</c:v>
                </c:pt>
              </c:strCache>
            </c:strRef>
          </c:cat>
          <c:val>
            <c:numRef>
              <c:f>'30&lt;=p_ij &lt;= 90'!$U$180:$U$187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6.6666666666666666E-2</c:v>
                </c:pt>
                <c:pt idx="3">
                  <c:v>0.13333333333333333</c:v>
                </c:pt>
                <c:pt idx="4">
                  <c:v>0.3</c:v>
                </c:pt>
                <c:pt idx="5">
                  <c:v>0.23333333333333334</c:v>
                </c:pt>
                <c:pt idx="6">
                  <c:v>0.1</c:v>
                </c:pt>
                <c:pt idx="7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62-4D52-897E-0F31EBFB9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384207"/>
        <c:axId val="1095383727"/>
      </c:barChart>
      <c:catAx>
        <c:axId val="109538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3727"/>
        <c:crosses val="autoZero"/>
        <c:auto val="1"/>
        <c:lblAlgn val="ctr"/>
        <c:lblOffset val="100"/>
        <c:noMultiLvlLbl val="0"/>
      </c:catAx>
      <c:valAx>
        <c:axId val="109538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Confronto valori</a:t>
            </a:r>
            <a:r>
              <a:rPr lang="en-US" sz="1400" baseline="0"/>
              <a:t> assoluti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(n = 25, m = 9)</a:t>
            </a:r>
            <a:endParaRPr lang="en-US" sz="1400"/>
          </a:p>
        </c:rich>
      </c:tx>
      <c:layout>
        <c:manualLayout>
          <c:xMode val="edge"/>
          <c:yMode val="edge"/>
          <c:x val="0.26872711398620397"/>
          <c:y val="4.2496511438592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LB2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yVal>
            <c:numRef>
              <c:f>'30&lt;=p_ij &lt;= 90'!$K$179:$K$208</c:f>
              <c:numCache>
                <c:formatCode>General</c:formatCode>
                <c:ptCount val="30"/>
                <c:pt idx="0">
                  <c:v>1595</c:v>
                </c:pt>
                <c:pt idx="1">
                  <c:v>1635</c:v>
                </c:pt>
                <c:pt idx="2">
                  <c:v>1644</c:v>
                </c:pt>
                <c:pt idx="3">
                  <c:v>1607</c:v>
                </c:pt>
                <c:pt idx="4">
                  <c:v>1635</c:v>
                </c:pt>
                <c:pt idx="5">
                  <c:v>1658</c:v>
                </c:pt>
                <c:pt idx="6">
                  <c:v>1602</c:v>
                </c:pt>
                <c:pt idx="7">
                  <c:v>1637</c:v>
                </c:pt>
                <c:pt idx="8">
                  <c:v>1630</c:v>
                </c:pt>
                <c:pt idx="9">
                  <c:v>1746</c:v>
                </c:pt>
                <c:pt idx="10">
                  <c:v>1581</c:v>
                </c:pt>
                <c:pt idx="11">
                  <c:v>1572</c:v>
                </c:pt>
                <c:pt idx="12">
                  <c:v>1577</c:v>
                </c:pt>
                <c:pt idx="13">
                  <c:v>1660</c:v>
                </c:pt>
                <c:pt idx="14">
                  <c:v>1594</c:v>
                </c:pt>
                <c:pt idx="15">
                  <c:v>1609</c:v>
                </c:pt>
                <c:pt idx="16">
                  <c:v>1564</c:v>
                </c:pt>
                <c:pt idx="17">
                  <c:v>1645</c:v>
                </c:pt>
                <c:pt idx="18">
                  <c:v>1665</c:v>
                </c:pt>
                <c:pt idx="19">
                  <c:v>1699</c:v>
                </c:pt>
                <c:pt idx="20">
                  <c:v>1658</c:v>
                </c:pt>
                <c:pt idx="21">
                  <c:v>1647</c:v>
                </c:pt>
                <c:pt idx="22">
                  <c:v>1685</c:v>
                </c:pt>
                <c:pt idx="23">
                  <c:v>1683</c:v>
                </c:pt>
                <c:pt idx="24">
                  <c:v>1694</c:v>
                </c:pt>
                <c:pt idx="25">
                  <c:v>1657</c:v>
                </c:pt>
                <c:pt idx="26">
                  <c:v>1686</c:v>
                </c:pt>
                <c:pt idx="27">
                  <c:v>1595</c:v>
                </c:pt>
                <c:pt idx="28">
                  <c:v>1621</c:v>
                </c:pt>
                <c:pt idx="29">
                  <c:v>1653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D-4300-9BD3-9C6E4BAB0C28}"/>
            </c:ext>
          </c:extLst>
        </c:ser>
        <c:ser>
          <c:idx val="2"/>
          <c:order val="1"/>
          <c:tx>
            <c:v>UB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'30&lt;=p_ij &lt;= 90'!$J$179:$J$208</c:f>
              <c:numCache>
                <c:formatCode>General</c:formatCode>
                <c:ptCount val="30"/>
                <c:pt idx="0">
                  <c:v>1919</c:v>
                </c:pt>
                <c:pt idx="1">
                  <c:v>2110</c:v>
                </c:pt>
                <c:pt idx="2">
                  <c:v>2094</c:v>
                </c:pt>
                <c:pt idx="3">
                  <c:v>2781</c:v>
                </c:pt>
                <c:pt idx="4">
                  <c:v>2081</c:v>
                </c:pt>
                <c:pt idx="5">
                  <c:v>1937</c:v>
                </c:pt>
                <c:pt idx="6">
                  <c:v>2033</c:v>
                </c:pt>
                <c:pt idx="7">
                  <c:v>2022</c:v>
                </c:pt>
                <c:pt idx="8">
                  <c:v>2220</c:v>
                </c:pt>
                <c:pt idx="9">
                  <c:v>1958</c:v>
                </c:pt>
                <c:pt idx="10">
                  <c:v>1993</c:v>
                </c:pt>
                <c:pt idx="11">
                  <c:v>1888</c:v>
                </c:pt>
                <c:pt idx="12">
                  <c:v>1900</c:v>
                </c:pt>
                <c:pt idx="13">
                  <c:v>2012</c:v>
                </c:pt>
                <c:pt idx="14">
                  <c:v>2134</c:v>
                </c:pt>
                <c:pt idx="15">
                  <c:v>2010</c:v>
                </c:pt>
                <c:pt idx="16">
                  <c:v>1942</c:v>
                </c:pt>
                <c:pt idx="17">
                  <c:v>2047</c:v>
                </c:pt>
                <c:pt idx="18">
                  <c:v>2317</c:v>
                </c:pt>
                <c:pt idx="19">
                  <c:v>2175</c:v>
                </c:pt>
                <c:pt idx="20">
                  <c:v>2035</c:v>
                </c:pt>
                <c:pt idx="21">
                  <c:v>1959</c:v>
                </c:pt>
                <c:pt idx="22">
                  <c:v>1986</c:v>
                </c:pt>
                <c:pt idx="23">
                  <c:v>1874</c:v>
                </c:pt>
                <c:pt idx="24">
                  <c:v>2070</c:v>
                </c:pt>
                <c:pt idx="25">
                  <c:v>1981</c:v>
                </c:pt>
                <c:pt idx="26">
                  <c:v>2240</c:v>
                </c:pt>
                <c:pt idx="27">
                  <c:v>1954</c:v>
                </c:pt>
                <c:pt idx="28">
                  <c:v>2189</c:v>
                </c:pt>
                <c:pt idx="29">
                  <c:v>2144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8D-4300-9BD3-9C6E4BAB0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Tempi</a:t>
            </a:r>
            <a:r>
              <a:rPr lang="en-US" baseline="0"/>
              <a:t> di calcolo SHBT (n = 45, m = 5)</a:t>
            </a:r>
          </a:p>
        </c:rich>
      </c:tx>
      <c:layout>
        <c:manualLayout>
          <c:xMode val="edge"/>
          <c:yMode val="edge"/>
          <c:x val="0.20537020484318727"/>
          <c:y val="2.58086192659649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yVal>
            <c:numRef>
              <c:f>'30&lt;=p_ij &lt;= 90'!$I$238:$I$267</c:f>
              <c:numCache>
                <c:formatCode>General</c:formatCode>
                <c:ptCount val="30"/>
                <c:pt idx="0">
                  <c:v>32.36</c:v>
                </c:pt>
                <c:pt idx="1">
                  <c:v>24.75</c:v>
                </c:pt>
                <c:pt idx="2">
                  <c:v>28.936999999999998</c:v>
                </c:pt>
                <c:pt idx="3">
                  <c:v>33.703000000000003</c:v>
                </c:pt>
                <c:pt idx="4">
                  <c:v>31.765999999999991</c:v>
                </c:pt>
                <c:pt idx="5">
                  <c:v>31.625</c:v>
                </c:pt>
                <c:pt idx="6">
                  <c:v>26.76600000000002</c:v>
                </c:pt>
                <c:pt idx="7">
                  <c:v>37.921999999999997</c:v>
                </c:pt>
                <c:pt idx="8">
                  <c:v>46.10899999999998</c:v>
                </c:pt>
                <c:pt idx="9">
                  <c:v>37.531000000000006</c:v>
                </c:pt>
                <c:pt idx="10">
                  <c:v>25.703000000000031</c:v>
                </c:pt>
                <c:pt idx="11">
                  <c:v>45.437999999999988</c:v>
                </c:pt>
                <c:pt idx="12">
                  <c:v>41.5</c:v>
                </c:pt>
                <c:pt idx="13">
                  <c:v>35.812000000000012</c:v>
                </c:pt>
                <c:pt idx="14">
                  <c:v>33.031999999999925</c:v>
                </c:pt>
                <c:pt idx="15">
                  <c:v>44.343000000000075</c:v>
                </c:pt>
                <c:pt idx="16">
                  <c:v>33.702999999999975</c:v>
                </c:pt>
                <c:pt idx="17">
                  <c:v>37.890999999999963</c:v>
                </c:pt>
                <c:pt idx="18">
                  <c:v>28.922000000000025</c:v>
                </c:pt>
                <c:pt idx="19">
                  <c:v>30.406000000000063</c:v>
                </c:pt>
                <c:pt idx="20">
                  <c:v>34.265999999999963</c:v>
                </c:pt>
                <c:pt idx="21">
                  <c:v>38.984000000000037</c:v>
                </c:pt>
                <c:pt idx="22">
                  <c:v>25.187999999999988</c:v>
                </c:pt>
                <c:pt idx="23">
                  <c:v>85.421999999999912</c:v>
                </c:pt>
                <c:pt idx="24">
                  <c:v>45.593000000000075</c:v>
                </c:pt>
                <c:pt idx="25">
                  <c:v>36.797000000000025</c:v>
                </c:pt>
                <c:pt idx="26">
                  <c:v>35.452999999999975</c:v>
                </c:pt>
                <c:pt idx="27">
                  <c:v>27.515999999999963</c:v>
                </c:pt>
                <c:pt idx="28">
                  <c:v>49.921999999999898</c:v>
                </c:pt>
                <c:pt idx="29">
                  <c:v>36.7650000000001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0A-49BB-B93E-9888EE3E9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Distribuzione</a:t>
            </a:r>
            <a:r>
              <a:rPr lang="en-US" sz="1400" baseline="0"/>
              <a:t> errori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(n = 45, m = 5)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LB2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'30&lt;=p_ij &lt;= 90'!$V$63:$V$70</c:f>
              <c:strCache>
                <c:ptCount val="8"/>
                <c:pt idx="0">
                  <c:v>0.00-0.05</c:v>
                </c:pt>
                <c:pt idx="1">
                  <c:v>0.05-0.10</c:v>
                </c:pt>
                <c:pt idx="2">
                  <c:v>0.10-0.15</c:v>
                </c:pt>
                <c:pt idx="3">
                  <c:v>0.15-0.20</c:v>
                </c:pt>
                <c:pt idx="4">
                  <c:v>0.20-0.25</c:v>
                </c:pt>
                <c:pt idx="5">
                  <c:v>0.25-0.30</c:v>
                </c:pt>
                <c:pt idx="6">
                  <c:v>0.30-0.35</c:v>
                </c:pt>
                <c:pt idx="7">
                  <c:v>0.35-0.40</c:v>
                </c:pt>
              </c:strCache>
            </c:strRef>
          </c:cat>
          <c:val>
            <c:numRef>
              <c:f>'30&lt;=p_ij &lt;= 90'!$T$239:$T$246</c:f>
              <c:numCache>
                <c:formatCode>General</c:formatCode>
                <c:ptCount val="8"/>
                <c:pt idx="0">
                  <c:v>0.20689655172413793</c:v>
                </c:pt>
                <c:pt idx="1">
                  <c:v>0.34482758620689657</c:v>
                </c:pt>
                <c:pt idx="2">
                  <c:v>0.27586206896551724</c:v>
                </c:pt>
                <c:pt idx="3">
                  <c:v>0.17241379310344829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5-4DB2-849D-A5121AC47514}"/>
            </c:ext>
          </c:extLst>
        </c:ser>
        <c:ser>
          <c:idx val="2"/>
          <c:order val="1"/>
          <c:tx>
            <c:v>LB3</c:v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'30&lt;=p_ij &lt;= 90'!$V$63:$V$70</c:f>
              <c:strCache>
                <c:ptCount val="8"/>
                <c:pt idx="0">
                  <c:v>0.00-0.05</c:v>
                </c:pt>
                <c:pt idx="1">
                  <c:v>0.05-0.10</c:v>
                </c:pt>
                <c:pt idx="2">
                  <c:v>0.10-0.15</c:v>
                </c:pt>
                <c:pt idx="3">
                  <c:v>0.15-0.20</c:v>
                </c:pt>
                <c:pt idx="4">
                  <c:v>0.20-0.25</c:v>
                </c:pt>
                <c:pt idx="5">
                  <c:v>0.25-0.30</c:v>
                </c:pt>
                <c:pt idx="6">
                  <c:v>0.30-0.35</c:v>
                </c:pt>
                <c:pt idx="7">
                  <c:v>0.35-0.40</c:v>
                </c:pt>
              </c:strCache>
            </c:strRef>
          </c:cat>
          <c:val>
            <c:numRef>
              <c:f>'30&lt;=p_ij &lt;= 90'!$U$239:$U$246</c:f>
              <c:numCache>
                <c:formatCode>General</c:formatCode>
                <c:ptCount val="8"/>
                <c:pt idx="0">
                  <c:v>0.20689655172413793</c:v>
                </c:pt>
                <c:pt idx="1">
                  <c:v>0.34482758620689657</c:v>
                </c:pt>
                <c:pt idx="2">
                  <c:v>0.27586206896551724</c:v>
                </c:pt>
                <c:pt idx="3">
                  <c:v>0.17241379310344829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95-4DB2-849D-A5121AC47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384207"/>
        <c:axId val="1095383727"/>
      </c:barChart>
      <c:catAx>
        <c:axId val="109538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3727"/>
        <c:crosses val="autoZero"/>
        <c:auto val="1"/>
        <c:lblAlgn val="ctr"/>
        <c:lblOffset val="100"/>
        <c:noMultiLvlLbl val="0"/>
      </c:catAx>
      <c:valAx>
        <c:axId val="109538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Confronto valori</a:t>
            </a:r>
            <a:r>
              <a:rPr lang="en-US" sz="1400" baseline="0"/>
              <a:t> assoluti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(n = 45, m = 5)</a:t>
            </a:r>
            <a:endParaRPr lang="en-US" sz="1400"/>
          </a:p>
        </c:rich>
      </c:tx>
      <c:layout>
        <c:manualLayout>
          <c:xMode val="edge"/>
          <c:yMode val="edge"/>
          <c:x val="0.26872711398620397"/>
          <c:y val="4.2496511438592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LB2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yVal>
            <c:numRef>
              <c:f>'30&lt;=p_ij &lt;= 90'!$K$238:$K$267</c:f>
              <c:numCache>
                <c:formatCode>General</c:formatCode>
                <c:ptCount val="30"/>
                <c:pt idx="0">
                  <c:v>2826</c:v>
                </c:pt>
                <c:pt idx="1">
                  <c:v>2706</c:v>
                </c:pt>
                <c:pt idx="2">
                  <c:v>2880</c:v>
                </c:pt>
                <c:pt idx="3">
                  <c:v>2740</c:v>
                </c:pt>
                <c:pt idx="4">
                  <c:v>2681</c:v>
                </c:pt>
                <c:pt idx="5">
                  <c:v>2897</c:v>
                </c:pt>
                <c:pt idx="6">
                  <c:v>2747</c:v>
                </c:pt>
                <c:pt idx="7">
                  <c:v>2826</c:v>
                </c:pt>
                <c:pt idx="8">
                  <c:v>2881</c:v>
                </c:pt>
                <c:pt idx="9">
                  <c:v>2790</c:v>
                </c:pt>
                <c:pt idx="10">
                  <c:v>2854</c:v>
                </c:pt>
                <c:pt idx="11">
                  <c:v>2956</c:v>
                </c:pt>
                <c:pt idx="12">
                  <c:v>2614</c:v>
                </c:pt>
                <c:pt idx="13">
                  <c:v>2941</c:v>
                </c:pt>
                <c:pt idx="14">
                  <c:v>2772</c:v>
                </c:pt>
                <c:pt idx="15">
                  <c:v>2817</c:v>
                </c:pt>
                <c:pt idx="16">
                  <c:v>2723</c:v>
                </c:pt>
                <c:pt idx="17">
                  <c:v>2899</c:v>
                </c:pt>
                <c:pt idx="18">
                  <c:v>2766</c:v>
                </c:pt>
                <c:pt idx="19">
                  <c:v>2808</c:v>
                </c:pt>
                <c:pt idx="20">
                  <c:v>2770</c:v>
                </c:pt>
                <c:pt idx="21">
                  <c:v>2830</c:v>
                </c:pt>
                <c:pt idx="22">
                  <c:v>2828</c:v>
                </c:pt>
                <c:pt idx="23">
                  <c:v>2772</c:v>
                </c:pt>
                <c:pt idx="24">
                  <c:v>2846</c:v>
                </c:pt>
                <c:pt idx="25">
                  <c:v>2896</c:v>
                </c:pt>
                <c:pt idx="26">
                  <c:v>2817</c:v>
                </c:pt>
                <c:pt idx="27">
                  <c:v>2838</c:v>
                </c:pt>
                <c:pt idx="28">
                  <c:v>2884</c:v>
                </c:pt>
                <c:pt idx="29">
                  <c:v>2901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C1-4C75-BE16-627E1EF09313}"/>
            </c:ext>
          </c:extLst>
        </c:ser>
        <c:ser>
          <c:idx val="2"/>
          <c:order val="1"/>
          <c:tx>
            <c:v>UB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'30&lt;=p_ij &lt;= 90'!$J$238:$J$267</c:f>
              <c:numCache>
                <c:formatCode>General</c:formatCode>
                <c:ptCount val="30"/>
                <c:pt idx="0">
                  <c:v>2877</c:v>
                </c:pt>
                <c:pt idx="1">
                  <c:v>2842</c:v>
                </c:pt>
                <c:pt idx="2">
                  <c:v>3135</c:v>
                </c:pt>
                <c:pt idx="3">
                  <c:v>2925</c:v>
                </c:pt>
                <c:pt idx="4">
                  <c:v>2975</c:v>
                </c:pt>
                <c:pt idx="5">
                  <c:v>3008</c:v>
                </c:pt>
                <c:pt idx="6">
                  <c:v>2944</c:v>
                </c:pt>
                <c:pt idx="7">
                  <c:v>3057</c:v>
                </c:pt>
                <c:pt idx="8">
                  <c:v>3436</c:v>
                </c:pt>
                <c:pt idx="9">
                  <c:v>3185</c:v>
                </c:pt>
                <c:pt idx="10">
                  <c:v>3372</c:v>
                </c:pt>
                <c:pt idx="11">
                  <c:v>2983</c:v>
                </c:pt>
                <c:pt idx="12">
                  <c:v>2909</c:v>
                </c:pt>
                <c:pt idx="13">
                  <c:v>3129</c:v>
                </c:pt>
                <c:pt idx="14">
                  <c:v>3256</c:v>
                </c:pt>
                <c:pt idx="15">
                  <c:v>3276</c:v>
                </c:pt>
                <c:pt idx="16">
                  <c:v>3058</c:v>
                </c:pt>
                <c:pt idx="17">
                  <c:v>3026</c:v>
                </c:pt>
                <c:pt idx="18">
                  <c:v>3014</c:v>
                </c:pt>
                <c:pt idx="19">
                  <c:v>2830</c:v>
                </c:pt>
                <c:pt idx="20">
                  <c:v>3160</c:v>
                </c:pt>
                <c:pt idx="21">
                  <c:v>3032</c:v>
                </c:pt>
                <c:pt idx="22">
                  <c:v>2848</c:v>
                </c:pt>
                <c:pt idx="23">
                  <c:v>3772</c:v>
                </c:pt>
                <c:pt idx="24">
                  <c:v>3026</c:v>
                </c:pt>
                <c:pt idx="25">
                  <c:v>3218</c:v>
                </c:pt>
                <c:pt idx="26">
                  <c:v>3135</c:v>
                </c:pt>
                <c:pt idx="27">
                  <c:v>3093</c:v>
                </c:pt>
                <c:pt idx="28">
                  <c:v>3314</c:v>
                </c:pt>
                <c:pt idx="29">
                  <c:v>3410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C1-4C75-BE16-627E1EF09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Numero sottoproblemi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'30&lt;=p_ij &lt;= 90'!$F$314</c:f>
              <c:strCache>
                <c:ptCount val="1"/>
                <c:pt idx="0">
                  <c:v>N_SOTTOPROB</c:v>
                </c:pt>
              </c:strCache>
            </c:strRef>
          </c:tx>
          <c:spPr>
            <a:ln w="9525" cap="rnd">
              <a:solidFill>
                <a:srgbClr val="7030A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cat>
            <c:strRef>
              <c:f>'30&lt;=p_ij &lt;= 90'!$B$315:$B$319</c:f>
              <c:strCache>
                <c:ptCount val="5"/>
                <c:pt idx="0">
                  <c:v>n=5,m=45</c:v>
                </c:pt>
                <c:pt idx="1">
                  <c:v>n=9,m=25</c:v>
                </c:pt>
                <c:pt idx="2">
                  <c:v>n=15,m=15</c:v>
                </c:pt>
                <c:pt idx="3">
                  <c:v>n=25,m=9</c:v>
                </c:pt>
                <c:pt idx="4">
                  <c:v>n=45,m=5</c:v>
                </c:pt>
              </c:strCache>
            </c:strRef>
          </c:cat>
          <c:val>
            <c:numRef>
              <c:f>'30&lt;=p_ij &lt;= 90'!$F$315:$F$319</c:f>
              <c:numCache>
                <c:formatCode>General</c:formatCode>
                <c:ptCount val="5"/>
                <c:pt idx="0">
                  <c:v>1035</c:v>
                </c:pt>
                <c:pt idx="1">
                  <c:v>325</c:v>
                </c:pt>
                <c:pt idx="2">
                  <c:v>120</c:v>
                </c:pt>
                <c:pt idx="3">
                  <c:v>45</c:v>
                </c:pt>
                <c:pt idx="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36-49DA-BE0C-0B298C8BE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378256"/>
        <c:axId val="1115378736"/>
      </c:lineChart>
      <c:catAx>
        <c:axId val="111537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8736"/>
        <c:crosses val="autoZero"/>
        <c:auto val="1"/>
        <c:lblAlgn val="ctr"/>
        <c:lblOffset val="100"/>
        <c:noMultiLvlLbl val="0"/>
      </c:catAx>
      <c:valAx>
        <c:axId val="11153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N_P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7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tempo medio</a:t>
            </a:r>
            <a:r>
              <a:rPr lang="en-US" baseline="0"/>
              <a:t> 1|rj|Lmax sulle iter (n = 15, m = 15)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'30&lt;=p_ij &lt;= 90'!$AH$152:$AV$152</c:f>
              <c:numCache>
                <c:formatCode>General</c:formatCode>
                <c:ptCount val="15"/>
                <c:pt idx="0">
                  <c:v>0.35201389999999999</c:v>
                </c:pt>
                <c:pt idx="1">
                  <c:v>0.48950886666666654</c:v>
                </c:pt>
                <c:pt idx="2">
                  <c:v>0.53597753333333342</c:v>
                </c:pt>
                <c:pt idx="3">
                  <c:v>0.5739584000000002</c:v>
                </c:pt>
                <c:pt idx="4">
                  <c:v>0.58101340000000001</c:v>
                </c:pt>
                <c:pt idx="5">
                  <c:v>0.58369796666666673</c:v>
                </c:pt>
                <c:pt idx="6">
                  <c:v>0.61238429999999999</c:v>
                </c:pt>
                <c:pt idx="7">
                  <c:v>0.59348960000000006</c:v>
                </c:pt>
                <c:pt idx="8">
                  <c:v>0.6206845333333334</c:v>
                </c:pt>
                <c:pt idx="9">
                  <c:v>0.66736116666666656</c:v>
                </c:pt>
                <c:pt idx="10">
                  <c:v>0.60604166666666659</c:v>
                </c:pt>
                <c:pt idx="11">
                  <c:v>0.60299476666666674</c:v>
                </c:pt>
                <c:pt idx="12">
                  <c:v>0.61336810000000008</c:v>
                </c:pt>
                <c:pt idx="13">
                  <c:v>0.59401049999999989</c:v>
                </c:pt>
                <c:pt idx="14">
                  <c:v>0.47604166666666664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3A-4337-9000-C6165C293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2997424"/>
        <c:axId val="1402994064"/>
      </c:lineChart>
      <c:catAx>
        <c:axId val="1402997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iterazioni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994064"/>
        <c:crosses val="autoZero"/>
        <c:auto val="1"/>
        <c:lblAlgn val="ctr"/>
        <c:lblOffset val="100"/>
        <c:noMultiLvlLbl val="0"/>
      </c:catAx>
      <c:valAx>
        <c:axId val="140299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tempo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99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tempo medio 1|rj|Lmax sulle iter (n = 45, m =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'30&lt;=p_ij &lt;= 90'!$AH$270:$AL$270</c:f>
              <c:numCache>
                <c:formatCode>General</c:formatCode>
                <c:ptCount val="5"/>
                <c:pt idx="0">
                  <c:v>0.11093749999999998</c:v>
                </c:pt>
                <c:pt idx="1">
                  <c:v>7.175520866666667</c:v>
                </c:pt>
                <c:pt idx="2">
                  <c:v>21.712152700000001</c:v>
                </c:pt>
                <c:pt idx="3">
                  <c:v>31.315104033333334</c:v>
                </c:pt>
                <c:pt idx="4">
                  <c:v>37.96875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B-4B34-A1FE-FB8F253B2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4170032"/>
        <c:axId val="934170512"/>
      </c:lineChart>
      <c:catAx>
        <c:axId val="934170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170512"/>
        <c:crosses val="autoZero"/>
        <c:auto val="1"/>
        <c:lblAlgn val="ctr"/>
        <c:lblOffset val="100"/>
        <c:noMultiLvlLbl val="0"/>
      </c:catAx>
      <c:valAx>
        <c:axId val="93417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17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tempo medio 1|rj|Lmax sulle iter (n = 5, m = 45)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58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'30&lt;=p_ij &lt;= 90'!$AH$35:$BZ$35</c:f>
              <c:numCache>
                <c:formatCode>General</c:formatCode>
                <c:ptCount val="45"/>
                <c:pt idx="0">
                  <c:v>6.4629699999999998E-2</c:v>
                </c:pt>
                <c:pt idx="1">
                  <c:v>6.593276666666667E-2</c:v>
                </c:pt>
                <c:pt idx="2">
                  <c:v>6.4498600000000003E-2</c:v>
                </c:pt>
                <c:pt idx="3">
                  <c:v>6.6865199999999986E-2</c:v>
                </c:pt>
                <c:pt idx="4">
                  <c:v>6.6869966666666683E-2</c:v>
                </c:pt>
                <c:pt idx="5">
                  <c:v>6.398443333333334E-2</c:v>
                </c:pt>
                <c:pt idx="6">
                  <c:v>6.3715233333333329E-2</c:v>
                </c:pt>
                <c:pt idx="7">
                  <c:v>5.9347666666666667E-2</c:v>
                </c:pt>
                <c:pt idx="8">
                  <c:v>5.3476866666666657E-2</c:v>
                </c:pt>
                <c:pt idx="9">
                  <c:v>5.4499366666666667E-2</c:v>
                </c:pt>
                <c:pt idx="10">
                  <c:v>5.4925599999999998E-2</c:v>
                </c:pt>
                <c:pt idx="11">
                  <c:v>5.4442300000000006E-2</c:v>
                </c:pt>
                <c:pt idx="12">
                  <c:v>5.5350433333333331E-2</c:v>
                </c:pt>
                <c:pt idx="13">
                  <c:v>5.4736300000000002E-2</c:v>
                </c:pt>
                <c:pt idx="14">
                  <c:v>5.5661999999999996E-2</c:v>
                </c:pt>
                <c:pt idx="15">
                  <c:v>5.5190900000000015E-2</c:v>
                </c:pt>
                <c:pt idx="16">
                  <c:v>5.3951133333333331E-2</c:v>
                </c:pt>
                <c:pt idx="17">
                  <c:v>5.2288066666666667E-2</c:v>
                </c:pt>
                <c:pt idx="18">
                  <c:v>5.3375733333333342E-2</c:v>
                </c:pt>
                <c:pt idx="19">
                  <c:v>5.3946266666666673E-2</c:v>
                </c:pt>
                <c:pt idx="20">
                  <c:v>5.4166666666666662E-2</c:v>
                </c:pt>
                <c:pt idx="21">
                  <c:v>5.2755933333333352E-2</c:v>
                </c:pt>
                <c:pt idx="22">
                  <c:v>5.3894966666666676E-2</c:v>
                </c:pt>
                <c:pt idx="23">
                  <c:v>5.3645799999999993E-2</c:v>
                </c:pt>
                <c:pt idx="24">
                  <c:v>5.3720299999999978E-2</c:v>
                </c:pt>
                <c:pt idx="25">
                  <c:v>5.3567766666666655E-2</c:v>
                </c:pt>
                <c:pt idx="26">
                  <c:v>5.4385999999999983E-2</c:v>
                </c:pt>
                <c:pt idx="27">
                  <c:v>5.3819499999999992E-2</c:v>
                </c:pt>
                <c:pt idx="28">
                  <c:v>5.4442400000000009E-2</c:v>
                </c:pt>
                <c:pt idx="29">
                  <c:v>5.432950000000001E-2</c:v>
                </c:pt>
                <c:pt idx="30">
                  <c:v>5.3298633333333331E-2</c:v>
                </c:pt>
                <c:pt idx="31">
                  <c:v>5.4464266666666677E-2</c:v>
                </c:pt>
                <c:pt idx="32">
                  <c:v>5.5729100000000004E-2</c:v>
                </c:pt>
                <c:pt idx="33">
                  <c:v>5.6250033333333338E-2</c:v>
                </c:pt>
                <c:pt idx="34">
                  <c:v>5.8475400000000004E-2</c:v>
                </c:pt>
                <c:pt idx="35">
                  <c:v>5.5468700000000003E-2</c:v>
                </c:pt>
                <c:pt idx="36">
                  <c:v>5.6134200000000002E-2</c:v>
                </c:pt>
                <c:pt idx="37">
                  <c:v>5.6640633333333329E-2</c:v>
                </c:pt>
                <c:pt idx="38">
                  <c:v>5.7812400000000007E-2</c:v>
                </c:pt>
                <c:pt idx="39">
                  <c:v>5.95486E-2</c:v>
                </c:pt>
                <c:pt idx="40">
                  <c:v>7.4479166666666666E-2</c:v>
                </c:pt>
                <c:pt idx="41">
                  <c:v>6.1718733333333338E-2</c:v>
                </c:pt>
                <c:pt idx="42">
                  <c:v>6.1979166666666669E-2</c:v>
                </c:pt>
                <c:pt idx="43">
                  <c:v>6.3541733333333336E-2</c:v>
                </c:pt>
                <c:pt idx="44">
                  <c:v>5.5208333333333331E-2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30-450B-A85D-33B6F57D6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3560992"/>
        <c:axId val="1403554272"/>
      </c:lineChart>
      <c:catAx>
        <c:axId val="1403560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554272"/>
        <c:crosses val="autoZero"/>
        <c:auto val="1"/>
        <c:lblAlgn val="ctr"/>
        <c:lblOffset val="100"/>
        <c:noMultiLvlLbl val="0"/>
      </c:catAx>
      <c:valAx>
        <c:axId val="140355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tempi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56099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tempo medio 1|rj|Lmax sulle iter (n = 9, m = 25)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9525">
              <a:solidFill>
                <a:srgbClr val="0070C0"/>
              </a:solidFill>
              <a:prstDash val="dash"/>
            </a:ln>
          </c:spPr>
          <c:marker>
            <c:symbol val="circle"/>
            <c:size val="5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val>
            <c:numRef>
              <c:f>'30&lt;=p_ij &lt;= 90'!$AI$93:$BG$93</c:f>
              <c:numCache>
                <c:formatCode>General</c:formatCode>
                <c:ptCount val="25"/>
                <c:pt idx="0">
                  <c:v>0.12364583333333333</c:v>
                </c:pt>
                <c:pt idx="1">
                  <c:v>0.12480463333333333</c:v>
                </c:pt>
                <c:pt idx="2">
                  <c:v>0.12434323333333329</c:v>
                </c:pt>
                <c:pt idx="3">
                  <c:v>0.12916666666666668</c:v>
                </c:pt>
                <c:pt idx="4">
                  <c:v>0.1250247666666667</c:v>
                </c:pt>
                <c:pt idx="5">
                  <c:v>0.12638020000000003</c:v>
                </c:pt>
                <c:pt idx="6">
                  <c:v>0.12628839999999997</c:v>
                </c:pt>
                <c:pt idx="7">
                  <c:v>0.12485523333333336</c:v>
                </c:pt>
                <c:pt idx="8">
                  <c:v>0.12552073333333333</c:v>
                </c:pt>
                <c:pt idx="9">
                  <c:v>0.12249353333333336</c:v>
                </c:pt>
                <c:pt idx="10">
                  <c:v>0.1242708</c:v>
                </c:pt>
                <c:pt idx="11">
                  <c:v>0.12734373333333335</c:v>
                </c:pt>
                <c:pt idx="12">
                  <c:v>0.1200721333333333</c:v>
                </c:pt>
                <c:pt idx="13">
                  <c:v>0.12669273333333333</c:v>
                </c:pt>
                <c:pt idx="14">
                  <c:v>0.12443176666666664</c:v>
                </c:pt>
                <c:pt idx="15">
                  <c:v>0.1234895333333333</c:v>
                </c:pt>
                <c:pt idx="16">
                  <c:v>0.12893516666666668</c:v>
                </c:pt>
                <c:pt idx="17">
                  <c:v>0.12519533333333335</c:v>
                </c:pt>
                <c:pt idx="18">
                  <c:v>0.12879460000000001</c:v>
                </c:pt>
                <c:pt idx="19">
                  <c:v>0.12934036666666668</c:v>
                </c:pt>
                <c:pt idx="20">
                  <c:v>0.12614583333333332</c:v>
                </c:pt>
                <c:pt idx="21">
                  <c:v>0.12526036666666668</c:v>
                </c:pt>
                <c:pt idx="22">
                  <c:v>0.12638886666666668</c:v>
                </c:pt>
                <c:pt idx="23">
                  <c:v>0.12213533333333333</c:v>
                </c:pt>
                <c:pt idx="24">
                  <c:v>9.0104166666666666E-2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E5-4191-A39B-7E39949D8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3560992"/>
        <c:axId val="1403554272"/>
      </c:lineChart>
      <c:catAx>
        <c:axId val="1403560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554272"/>
        <c:crosses val="autoZero"/>
        <c:auto val="1"/>
        <c:lblAlgn val="ctr"/>
        <c:lblOffset val="100"/>
        <c:noMultiLvlLbl val="0"/>
      </c:catAx>
      <c:valAx>
        <c:axId val="140355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tempi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56099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tempo medio 1|rj|Lmax sulle iter (n = 25, m =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'30&lt;=p_ij &lt;= 90'!$AI$211:$AQ$211</c:f>
              <c:numCache>
                <c:formatCode>General</c:formatCode>
                <c:ptCount val="9"/>
                <c:pt idx="0">
                  <c:v>9.438666666666666E-2</c:v>
                </c:pt>
                <c:pt idx="1">
                  <c:v>1.1611979333333333</c:v>
                </c:pt>
                <c:pt idx="2">
                  <c:v>3.3172619000000005</c:v>
                </c:pt>
                <c:pt idx="3">
                  <c:v>4.7313367999999993</c:v>
                </c:pt>
                <c:pt idx="4">
                  <c:v>6.2002083333333351</c:v>
                </c:pt>
                <c:pt idx="5">
                  <c:v>6.0593750666666661</c:v>
                </c:pt>
                <c:pt idx="6">
                  <c:v>5.2651041999999988</c:v>
                </c:pt>
                <c:pt idx="7">
                  <c:v>6.0828124333333333</c:v>
                </c:pt>
                <c:pt idx="8">
                  <c:v>4.515625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D2-49C6-9FED-66308A258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4170032"/>
        <c:axId val="934170512"/>
      </c:lineChart>
      <c:catAx>
        <c:axId val="934170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170512"/>
        <c:crosses val="autoZero"/>
        <c:auto val="1"/>
        <c:lblAlgn val="ctr"/>
        <c:lblOffset val="100"/>
        <c:noMultiLvlLbl val="0"/>
      </c:catAx>
      <c:valAx>
        <c:axId val="93417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17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Tempi</a:t>
            </a:r>
            <a:r>
              <a:rPr lang="en-US" baseline="0"/>
              <a:t> di calcolo GUROBI</a:t>
            </a:r>
            <a:endParaRPr lang="en-US"/>
          </a:p>
        </c:rich>
      </c:tx>
      <c:layout>
        <c:manualLayout>
          <c:xMode val="edge"/>
          <c:yMode val="edge"/>
          <c:x val="0.36843390937777282"/>
          <c:y val="2.65654622495019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yVal>
            <c:numRef>
              <c:f>Non_guardare_perche_errato!$C$4:$C$33</c:f>
              <c:numCache>
                <c:formatCode>General</c:formatCode>
                <c:ptCount val="30"/>
                <c:pt idx="0">
                  <c:v>11.14</c:v>
                </c:pt>
                <c:pt idx="1">
                  <c:v>7.2029999999999994</c:v>
                </c:pt>
                <c:pt idx="2">
                  <c:v>2.9379999999999988</c:v>
                </c:pt>
                <c:pt idx="3">
                  <c:v>1.9370000000000012</c:v>
                </c:pt>
                <c:pt idx="4">
                  <c:v>25.077999999999999</c:v>
                </c:pt>
                <c:pt idx="5">
                  <c:v>19.687999999999995</c:v>
                </c:pt>
                <c:pt idx="6">
                  <c:v>7.1720000000000113</c:v>
                </c:pt>
                <c:pt idx="7">
                  <c:v>9.7339999999999947</c:v>
                </c:pt>
                <c:pt idx="8">
                  <c:v>10.203000000000003</c:v>
                </c:pt>
                <c:pt idx="9">
                  <c:v>3.3439999999999941</c:v>
                </c:pt>
                <c:pt idx="10">
                  <c:v>16.906000000000006</c:v>
                </c:pt>
                <c:pt idx="11">
                  <c:v>9.453000000000003</c:v>
                </c:pt>
                <c:pt idx="12">
                  <c:v>6.2819999999999965</c:v>
                </c:pt>
                <c:pt idx="13">
                  <c:v>35.703000000000003</c:v>
                </c:pt>
                <c:pt idx="14">
                  <c:v>11.764999999999986</c:v>
                </c:pt>
                <c:pt idx="15">
                  <c:v>7.5790000000000077</c:v>
                </c:pt>
                <c:pt idx="16">
                  <c:v>7.1709999999999923</c:v>
                </c:pt>
                <c:pt idx="17">
                  <c:v>4.625</c:v>
                </c:pt>
                <c:pt idx="18">
                  <c:v>29.485000000000014</c:v>
                </c:pt>
                <c:pt idx="20">
                  <c:v>11.686999999999983</c:v>
                </c:pt>
                <c:pt idx="21">
                  <c:v>17.063000000000017</c:v>
                </c:pt>
                <c:pt idx="22">
                  <c:v>6.6560000000000059</c:v>
                </c:pt>
                <c:pt idx="23">
                  <c:v>14.625</c:v>
                </c:pt>
                <c:pt idx="24">
                  <c:v>2.8439999999999941</c:v>
                </c:pt>
                <c:pt idx="25">
                  <c:v>8.6719999999999686</c:v>
                </c:pt>
                <c:pt idx="26">
                  <c:v>19.687000000000012</c:v>
                </c:pt>
                <c:pt idx="28">
                  <c:v>31.687000000000126</c:v>
                </c:pt>
                <c:pt idx="29">
                  <c:v>3.6569999999999254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87-4115-BB4D-065AD6BC7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564719"/>
        <c:axId val="1400565199"/>
      </c:scatterChart>
      <c:valAx>
        <c:axId val="140056471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400565199"/>
        <c:crosses val="autoZero"/>
        <c:crossBetween val="midCat"/>
      </c:valAx>
      <c:valAx>
        <c:axId val="140056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6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Tempi</a:t>
            </a:r>
            <a:r>
              <a:rPr lang="en-US" baseline="0"/>
              <a:t> di calcolo SHBT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yVal>
            <c:numRef>
              <c:f>Non_guardare_perche_errato!$U$4:$U$33</c:f>
              <c:numCache>
                <c:formatCode>General</c:formatCode>
                <c:ptCount val="30"/>
                <c:pt idx="0">
                  <c:v>10.016</c:v>
                </c:pt>
                <c:pt idx="1">
                  <c:v>10.218999999999999</c:v>
                </c:pt>
                <c:pt idx="2">
                  <c:v>9.39</c:v>
                </c:pt>
                <c:pt idx="3">
                  <c:v>9.2349999999999994</c:v>
                </c:pt>
                <c:pt idx="4">
                  <c:v>11.905999999999999</c:v>
                </c:pt>
                <c:pt idx="5">
                  <c:v>11.390999999999998</c:v>
                </c:pt>
                <c:pt idx="6">
                  <c:v>11.234000000000009</c:v>
                </c:pt>
                <c:pt idx="7">
                  <c:v>10.796999999999997</c:v>
                </c:pt>
                <c:pt idx="8">
                  <c:v>10.390999999999991</c:v>
                </c:pt>
                <c:pt idx="9">
                  <c:v>11.625</c:v>
                </c:pt>
                <c:pt idx="10">
                  <c:v>11.203000000000003</c:v>
                </c:pt>
                <c:pt idx="11">
                  <c:v>10.421999999999997</c:v>
                </c:pt>
                <c:pt idx="12">
                  <c:v>10.78100000000002</c:v>
                </c:pt>
                <c:pt idx="13">
                  <c:v>11.061999999999983</c:v>
                </c:pt>
                <c:pt idx="14">
                  <c:v>10.735000000000014</c:v>
                </c:pt>
                <c:pt idx="15">
                  <c:v>11.217999999999989</c:v>
                </c:pt>
                <c:pt idx="16">
                  <c:v>11.140999999999991</c:v>
                </c:pt>
                <c:pt idx="17">
                  <c:v>10.859000000000009</c:v>
                </c:pt>
                <c:pt idx="18">
                  <c:v>12.546999999999997</c:v>
                </c:pt>
                <c:pt idx="20">
                  <c:v>9.3129999999999882</c:v>
                </c:pt>
                <c:pt idx="21">
                  <c:v>8.6560000000000628</c:v>
                </c:pt>
                <c:pt idx="22">
                  <c:v>10.75</c:v>
                </c:pt>
                <c:pt idx="23">
                  <c:v>10.75</c:v>
                </c:pt>
                <c:pt idx="24">
                  <c:v>11.046999999999912</c:v>
                </c:pt>
                <c:pt idx="25">
                  <c:v>11.187999999999988</c:v>
                </c:pt>
                <c:pt idx="26">
                  <c:v>11.078000000000088</c:v>
                </c:pt>
                <c:pt idx="28">
                  <c:v>9.5310000000000628</c:v>
                </c:pt>
                <c:pt idx="29">
                  <c:v>11.280999999999949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CD-4367-8712-AD3EFD36D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Distribuzione</a:t>
            </a:r>
            <a:r>
              <a:rPr lang="en-US" baseline="0"/>
              <a:t> errori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OTT</c:v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Non_guardare_perche_errato!$AH$5:$AH$11</c:f>
              <c:strCache>
                <c:ptCount val="7"/>
                <c:pt idx="0">
                  <c:v>0.00-0.10</c:v>
                </c:pt>
                <c:pt idx="1">
                  <c:v>0.10-0.20</c:v>
                </c:pt>
                <c:pt idx="2">
                  <c:v>0.20-0.30</c:v>
                </c:pt>
                <c:pt idx="3">
                  <c:v>0.30-0.40</c:v>
                </c:pt>
                <c:pt idx="4">
                  <c:v>0.40-0.50</c:v>
                </c:pt>
                <c:pt idx="5">
                  <c:v>0.50-0.60</c:v>
                </c:pt>
                <c:pt idx="6">
                  <c:v>0.60-1.00</c:v>
                </c:pt>
              </c:strCache>
            </c:strRef>
          </c:cat>
          <c:val>
            <c:numRef>
              <c:f>Non_guardare_perche_errato!$AE$5:$AE$11</c:f>
              <c:numCache>
                <c:formatCode>General</c:formatCode>
                <c:ptCount val="7"/>
                <c:pt idx="0">
                  <c:v>0</c:v>
                </c:pt>
                <c:pt idx="1">
                  <c:v>0.32142857142857145</c:v>
                </c:pt>
                <c:pt idx="2">
                  <c:v>0.5</c:v>
                </c:pt>
                <c:pt idx="3">
                  <c:v>0.10714285714285714</c:v>
                </c:pt>
                <c:pt idx="4">
                  <c:v>7.1428571428571425E-2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2-4C00-9165-F6D2BDB12249}"/>
            </c:ext>
          </c:extLst>
        </c:ser>
        <c:ser>
          <c:idx val="1"/>
          <c:order val="1"/>
          <c:tx>
            <c:v>LB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Non_guardare_perche_errato!$AH$5:$AH$11</c:f>
              <c:strCache>
                <c:ptCount val="7"/>
                <c:pt idx="0">
                  <c:v>0.00-0.10</c:v>
                </c:pt>
                <c:pt idx="1">
                  <c:v>0.10-0.20</c:v>
                </c:pt>
                <c:pt idx="2">
                  <c:v>0.20-0.30</c:v>
                </c:pt>
                <c:pt idx="3">
                  <c:v>0.30-0.40</c:v>
                </c:pt>
                <c:pt idx="4">
                  <c:v>0.40-0.50</c:v>
                </c:pt>
                <c:pt idx="5">
                  <c:v>0.50-0.60</c:v>
                </c:pt>
                <c:pt idx="6">
                  <c:v>0.60-1.00</c:v>
                </c:pt>
              </c:strCache>
            </c:strRef>
          </c:cat>
          <c:val>
            <c:numRef>
              <c:f>Non_guardare_perche_errato!$AF$5:$AF$11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0.2857142857142857</c:v>
                </c:pt>
                <c:pt idx="3">
                  <c:v>0.39285714285714285</c:v>
                </c:pt>
                <c:pt idx="4">
                  <c:v>0.21428571428571427</c:v>
                </c:pt>
                <c:pt idx="5">
                  <c:v>0.10714285714285714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B2-4C00-9165-F6D2BDB12249}"/>
            </c:ext>
          </c:extLst>
        </c:ser>
        <c:ser>
          <c:idx val="2"/>
          <c:order val="2"/>
          <c:tx>
            <c:v>LB3</c:v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Non_guardare_perche_errato!$AG$5:$AG$11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0.10714285714285714</c:v>
                </c:pt>
                <c:pt idx="4">
                  <c:v>0.39285714285714285</c:v>
                </c:pt>
                <c:pt idx="5">
                  <c:v>0.35714285714285715</c:v>
                </c:pt>
                <c:pt idx="6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8-4AF1-818C-ED6176F8B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384207"/>
        <c:axId val="1095383727"/>
      </c:barChart>
      <c:catAx>
        <c:axId val="109538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3727"/>
        <c:crosses val="autoZero"/>
        <c:auto val="1"/>
        <c:lblAlgn val="ctr"/>
        <c:lblOffset val="100"/>
        <c:noMultiLvlLbl val="0"/>
      </c:catAx>
      <c:valAx>
        <c:axId val="109538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Tempi</a:t>
            </a:r>
            <a:r>
              <a:rPr lang="en-US" baseline="0"/>
              <a:t> di calcolo GUROBI con UB</a:t>
            </a:r>
            <a:endParaRPr lang="en-US"/>
          </a:p>
        </c:rich>
      </c:tx>
      <c:layout>
        <c:manualLayout>
          <c:xMode val="edge"/>
          <c:yMode val="edge"/>
          <c:x val="0.36843390937777282"/>
          <c:y val="2.65654622495019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yVal>
            <c:numRef>
              <c:f>Non_guardare_perche_errato!$J$4:$J$33</c:f>
              <c:numCache>
                <c:formatCode>General</c:formatCode>
                <c:ptCount val="30"/>
                <c:pt idx="0">
                  <c:v>9.5310000000000006</c:v>
                </c:pt>
                <c:pt idx="1">
                  <c:v>6.5469999999999988</c:v>
                </c:pt>
                <c:pt idx="2">
                  <c:v>3.5940000000000012</c:v>
                </c:pt>
                <c:pt idx="3">
                  <c:v>2.9379999999999988</c:v>
                </c:pt>
                <c:pt idx="4">
                  <c:v>18.405999999999999</c:v>
                </c:pt>
                <c:pt idx="5">
                  <c:v>63.047000000000004</c:v>
                </c:pt>
                <c:pt idx="6">
                  <c:v>4.6869999999999976</c:v>
                </c:pt>
                <c:pt idx="7">
                  <c:v>8.421999999999997</c:v>
                </c:pt>
                <c:pt idx="8">
                  <c:v>12.313000000000017</c:v>
                </c:pt>
                <c:pt idx="9">
                  <c:v>5.3899999999999864</c:v>
                </c:pt>
                <c:pt idx="10">
                  <c:v>16.390999999999991</c:v>
                </c:pt>
                <c:pt idx="11">
                  <c:v>15.015000000000015</c:v>
                </c:pt>
                <c:pt idx="12">
                  <c:v>9.375</c:v>
                </c:pt>
                <c:pt idx="13">
                  <c:v>15.515999999999991</c:v>
                </c:pt>
                <c:pt idx="14">
                  <c:v>17.656000000000006</c:v>
                </c:pt>
                <c:pt idx="15">
                  <c:v>8.5939999999999941</c:v>
                </c:pt>
                <c:pt idx="16">
                  <c:v>9.453000000000003</c:v>
                </c:pt>
                <c:pt idx="17">
                  <c:v>6.8129999999999882</c:v>
                </c:pt>
                <c:pt idx="18">
                  <c:v>27.828000000000031</c:v>
                </c:pt>
                <c:pt idx="20">
                  <c:v>13.297000000000025</c:v>
                </c:pt>
                <c:pt idx="21">
                  <c:v>34.390999999999963</c:v>
                </c:pt>
                <c:pt idx="22">
                  <c:v>6.6870000000000118</c:v>
                </c:pt>
                <c:pt idx="23">
                  <c:v>16.110000000000014</c:v>
                </c:pt>
                <c:pt idx="24">
                  <c:v>5.1089999999999804</c:v>
                </c:pt>
                <c:pt idx="25">
                  <c:v>15.406000000000006</c:v>
                </c:pt>
                <c:pt idx="26">
                  <c:v>20.452999999999975</c:v>
                </c:pt>
                <c:pt idx="28">
                  <c:v>13.562000000000012</c:v>
                </c:pt>
                <c:pt idx="29">
                  <c:v>6.0159999999999627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8B-4997-8302-6D37C5366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564719"/>
        <c:axId val="1400565199"/>
      </c:scatterChart>
      <c:valAx>
        <c:axId val="140056471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400565199"/>
        <c:crosses val="autoZero"/>
        <c:crossBetween val="midCat"/>
      </c:valAx>
      <c:valAx>
        <c:axId val="140056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6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Distribuzione</a:t>
            </a:r>
            <a:r>
              <a:rPr lang="en-US" baseline="0"/>
              <a:t> errori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OTT*</c:v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Non_guardare_perche_errato!$AH$5:$AH$11</c:f>
              <c:strCache>
                <c:ptCount val="7"/>
                <c:pt idx="0">
                  <c:v>0.00-0.10</c:v>
                </c:pt>
                <c:pt idx="1">
                  <c:v>0.10-0.20</c:v>
                </c:pt>
                <c:pt idx="2">
                  <c:v>0.20-0.30</c:v>
                </c:pt>
                <c:pt idx="3">
                  <c:v>0.30-0.40</c:v>
                </c:pt>
                <c:pt idx="4">
                  <c:v>0.40-0.50</c:v>
                </c:pt>
                <c:pt idx="5">
                  <c:v>0.50-0.60</c:v>
                </c:pt>
                <c:pt idx="6">
                  <c:v>0.60-1.00</c:v>
                </c:pt>
              </c:strCache>
            </c:strRef>
          </c:cat>
          <c:val>
            <c:numRef>
              <c:f>Non_guardare_perche_errato!$AE$61:$AE$67</c:f>
              <c:numCache>
                <c:formatCode>General</c:formatCode>
                <c:ptCount val="7"/>
                <c:pt idx="0">
                  <c:v>0</c:v>
                </c:pt>
                <c:pt idx="1">
                  <c:v>0.17857142857142858</c:v>
                </c:pt>
                <c:pt idx="2">
                  <c:v>0.5357142857142857</c:v>
                </c:pt>
                <c:pt idx="3">
                  <c:v>0.2857142857142857</c:v>
                </c:pt>
                <c:pt idx="4">
                  <c:v>7.1428571428571425E-2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B-4472-A702-1428730E8DAC}"/>
            </c:ext>
          </c:extLst>
        </c:ser>
        <c:ser>
          <c:idx val="1"/>
          <c:order val="1"/>
          <c:tx>
            <c:v>LB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Non_guardare_perche_errato!$AH$5:$AH$11</c:f>
              <c:strCache>
                <c:ptCount val="7"/>
                <c:pt idx="0">
                  <c:v>0.00-0.10</c:v>
                </c:pt>
                <c:pt idx="1">
                  <c:v>0.10-0.20</c:v>
                </c:pt>
                <c:pt idx="2">
                  <c:v>0.20-0.30</c:v>
                </c:pt>
                <c:pt idx="3">
                  <c:v>0.30-0.40</c:v>
                </c:pt>
                <c:pt idx="4">
                  <c:v>0.40-0.50</c:v>
                </c:pt>
                <c:pt idx="5">
                  <c:v>0.50-0.60</c:v>
                </c:pt>
                <c:pt idx="6">
                  <c:v>0.60-1.00</c:v>
                </c:pt>
              </c:strCache>
            </c:strRef>
          </c:cat>
          <c:val>
            <c:numRef>
              <c:f>Non_guardare_perche_errato!$AF$61:$AF$67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7.1428571428571425E-2</c:v>
                </c:pt>
                <c:pt idx="3">
                  <c:v>0.32142857142857145</c:v>
                </c:pt>
                <c:pt idx="4">
                  <c:v>0.4642857142857143</c:v>
                </c:pt>
                <c:pt idx="5">
                  <c:v>0.17857142857142858</c:v>
                </c:pt>
                <c:pt idx="6">
                  <c:v>3.5714285714285712E-2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5B-4472-A702-1428730E8DAC}"/>
            </c:ext>
          </c:extLst>
        </c:ser>
        <c:ser>
          <c:idx val="2"/>
          <c:order val="2"/>
          <c:tx>
            <c:v>LB3</c:v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Non_guardare_perche_errato!$AG$61:$AG$67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0.14285714285714285</c:v>
                </c:pt>
                <c:pt idx="5">
                  <c:v>0.32142857142857145</c:v>
                </c:pt>
                <c:pt idx="6">
                  <c:v>0.5714285714285714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5B-4472-A702-1428730E8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384207"/>
        <c:axId val="1095383727"/>
      </c:barChart>
      <c:catAx>
        <c:axId val="109538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3727"/>
        <c:crosses val="autoZero"/>
        <c:auto val="1"/>
        <c:lblAlgn val="ctr"/>
        <c:lblOffset val="100"/>
        <c:noMultiLvlLbl val="0"/>
      </c:catAx>
      <c:valAx>
        <c:axId val="109538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Tempi</a:t>
            </a:r>
            <a:r>
              <a:rPr lang="en-US" baseline="0"/>
              <a:t> di calcolo SHBT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yVal>
            <c:numRef>
              <c:f>Non_guardare_perche_errato!$U$60:$U$89</c:f>
              <c:numCache>
                <c:formatCode>General</c:formatCode>
                <c:ptCount val="30"/>
                <c:pt idx="0">
                  <c:v>23.14</c:v>
                </c:pt>
                <c:pt idx="1">
                  <c:v>33.984999999999999</c:v>
                </c:pt>
                <c:pt idx="2">
                  <c:v>39.358999999999995</c:v>
                </c:pt>
                <c:pt idx="3">
                  <c:v>34.280999999999992</c:v>
                </c:pt>
                <c:pt idx="4">
                  <c:v>41.047000000000025</c:v>
                </c:pt>
                <c:pt idx="5">
                  <c:v>44.437999999999988</c:v>
                </c:pt>
                <c:pt idx="6">
                  <c:v>38.984000000000009</c:v>
                </c:pt>
                <c:pt idx="7">
                  <c:v>41.874999999999972</c:v>
                </c:pt>
                <c:pt idx="8">
                  <c:v>40.859000000000037</c:v>
                </c:pt>
                <c:pt idx="9">
                  <c:v>51.515999999999963</c:v>
                </c:pt>
                <c:pt idx="10">
                  <c:v>40.343999999999994</c:v>
                </c:pt>
                <c:pt idx="11">
                  <c:v>48.953000000000031</c:v>
                </c:pt>
                <c:pt idx="12">
                  <c:v>50.874999999999943</c:v>
                </c:pt>
                <c:pt idx="13">
                  <c:v>45.953000000000088</c:v>
                </c:pt>
                <c:pt idx="14">
                  <c:v>56.687999999999988</c:v>
                </c:pt>
                <c:pt idx="15">
                  <c:v>48.483999999999924</c:v>
                </c:pt>
                <c:pt idx="16">
                  <c:v>49.984000000000037</c:v>
                </c:pt>
                <c:pt idx="17">
                  <c:v>50</c:v>
                </c:pt>
                <c:pt idx="18">
                  <c:v>53.532000000000039</c:v>
                </c:pt>
                <c:pt idx="19">
                  <c:v>48.530999999999949</c:v>
                </c:pt>
                <c:pt idx="20">
                  <c:v>46.031000000000063</c:v>
                </c:pt>
                <c:pt idx="21">
                  <c:v>36.218999999999937</c:v>
                </c:pt>
                <c:pt idx="22">
                  <c:v>45.702999999999975</c:v>
                </c:pt>
                <c:pt idx="23">
                  <c:v>38.530999999999949</c:v>
                </c:pt>
                <c:pt idx="24">
                  <c:v>38</c:v>
                </c:pt>
                <c:pt idx="25">
                  <c:v>40.360000000000127</c:v>
                </c:pt>
                <c:pt idx="26">
                  <c:v>43.093000000000075</c:v>
                </c:pt>
                <c:pt idx="27">
                  <c:v>47.75</c:v>
                </c:pt>
                <c:pt idx="28">
                  <c:v>53.1099999999999</c:v>
                </c:pt>
                <c:pt idx="29">
                  <c:v>49.733999999999924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25-4CA7-B9D2-B573A011A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Distribuzione</a:t>
            </a:r>
            <a:r>
              <a:rPr lang="en-US" baseline="0"/>
              <a:t> errori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OTT</c:v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Non_guardare_perche_errato!$AH$5:$AH$11</c:f>
              <c:strCache>
                <c:ptCount val="7"/>
                <c:pt idx="0">
                  <c:v>0.00-0.10</c:v>
                </c:pt>
                <c:pt idx="1">
                  <c:v>0.10-0.20</c:v>
                </c:pt>
                <c:pt idx="2">
                  <c:v>0.20-0.30</c:v>
                </c:pt>
                <c:pt idx="3">
                  <c:v>0.30-0.40</c:v>
                </c:pt>
                <c:pt idx="4">
                  <c:v>0.40-0.50</c:v>
                </c:pt>
                <c:pt idx="5">
                  <c:v>0.50-0.60</c:v>
                </c:pt>
                <c:pt idx="6">
                  <c:v>0.60-1.00</c:v>
                </c:pt>
              </c:strCache>
            </c:strRef>
          </c:cat>
          <c:val>
            <c:numRef>
              <c:f>Non_guardare_perche_errato!$AE$118:$AE$124</c:f>
              <c:numCache>
                <c:formatCode>General</c:formatCode>
                <c:ptCount val="7"/>
                <c:pt idx="0">
                  <c:v>0.56666666666666665</c:v>
                </c:pt>
                <c:pt idx="1">
                  <c:v>0.32142857142857145</c:v>
                </c:pt>
                <c:pt idx="2">
                  <c:v>0.5</c:v>
                </c:pt>
                <c:pt idx="3">
                  <c:v>0.10714285714285714</c:v>
                </c:pt>
                <c:pt idx="4">
                  <c:v>7.1428571428571425E-2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C-4DDB-A022-E4858D493488}"/>
            </c:ext>
          </c:extLst>
        </c:ser>
        <c:ser>
          <c:idx val="1"/>
          <c:order val="1"/>
          <c:tx>
            <c:v>LB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Non_guardare_perche_errato!$AH$5:$AH$11</c:f>
              <c:strCache>
                <c:ptCount val="7"/>
                <c:pt idx="0">
                  <c:v>0.00-0.10</c:v>
                </c:pt>
                <c:pt idx="1">
                  <c:v>0.10-0.20</c:v>
                </c:pt>
                <c:pt idx="2">
                  <c:v>0.20-0.30</c:v>
                </c:pt>
                <c:pt idx="3">
                  <c:v>0.30-0.40</c:v>
                </c:pt>
                <c:pt idx="4">
                  <c:v>0.40-0.50</c:v>
                </c:pt>
                <c:pt idx="5">
                  <c:v>0.50-0.60</c:v>
                </c:pt>
                <c:pt idx="6">
                  <c:v>0.60-1.00</c:v>
                </c:pt>
              </c:strCache>
            </c:strRef>
          </c:cat>
          <c:val>
            <c:numRef>
              <c:f>Non_guardare_perche_errato!$AF$118:$AF$124</c:f>
              <c:numCache>
                <c:formatCode>General</c:formatCode>
                <c:ptCount val="7"/>
                <c:pt idx="0">
                  <c:v>0.16666666666666666</c:v>
                </c:pt>
                <c:pt idx="1">
                  <c:v>0</c:v>
                </c:pt>
                <c:pt idx="2">
                  <c:v>0.2857142857142857</c:v>
                </c:pt>
                <c:pt idx="3">
                  <c:v>0.39285714285714285</c:v>
                </c:pt>
                <c:pt idx="4">
                  <c:v>0.21428571428571427</c:v>
                </c:pt>
                <c:pt idx="5">
                  <c:v>0.10714285714285714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FC-4DDB-A022-E4858D493488}"/>
            </c:ext>
          </c:extLst>
        </c:ser>
        <c:ser>
          <c:idx val="2"/>
          <c:order val="2"/>
          <c:tx>
            <c:v>LB3</c:v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Non_guardare_perche_errato!$AG$118:$AG$124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0.10714285714285714</c:v>
                </c:pt>
                <c:pt idx="4">
                  <c:v>0.39285714285714285</c:v>
                </c:pt>
                <c:pt idx="5">
                  <c:v>0.35714285714285715</c:v>
                </c:pt>
                <c:pt idx="6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FC-4DDB-A022-E4858D493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384207"/>
        <c:axId val="1095383727"/>
      </c:barChart>
      <c:catAx>
        <c:axId val="109538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3727"/>
        <c:crosses val="autoZero"/>
        <c:auto val="1"/>
        <c:lblAlgn val="ctr"/>
        <c:lblOffset val="100"/>
        <c:noMultiLvlLbl val="0"/>
      </c:catAx>
      <c:valAx>
        <c:axId val="109538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Tempi</a:t>
            </a:r>
            <a:r>
              <a:rPr lang="en-US" baseline="0"/>
              <a:t> di calcolo SHBT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yVal>
            <c:numRef>
              <c:f>Non_guardare_perche_errato!$U$117:$U$146</c:f>
              <c:numCache>
                <c:formatCode>General</c:formatCode>
                <c:ptCount val="30"/>
                <c:pt idx="0">
                  <c:v>1.141</c:v>
                </c:pt>
                <c:pt idx="1">
                  <c:v>1.4060000000000001</c:v>
                </c:pt>
                <c:pt idx="2">
                  <c:v>1.5470000000000002</c:v>
                </c:pt>
                <c:pt idx="3">
                  <c:v>1.734</c:v>
                </c:pt>
                <c:pt idx="4">
                  <c:v>1.7809999999999997</c:v>
                </c:pt>
                <c:pt idx="5">
                  <c:v>1.657</c:v>
                </c:pt>
                <c:pt idx="6">
                  <c:v>1.6709999999999994</c:v>
                </c:pt>
                <c:pt idx="7">
                  <c:v>1.7040000000000006</c:v>
                </c:pt>
                <c:pt idx="8">
                  <c:v>1.7029999999999994</c:v>
                </c:pt>
                <c:pt idx="9">
                  <c:v>1.625</c:v>
                </c:pt>
                <c:pt idx="10">
                  <c:v>1.6719999999999988</c:v>
                </c:pt>
                <c:pt idx="11">
                  <c:v>1.6710000000000029</c:v>
                </c:pt>
                <c:pt idx="12">
                  <c:v>1.6409999999999982</c:v>
                </c:pt>
                <c:pt idx="13">
                  <c:v>1.7970000000000006</c:v>
                </c:pt>
                <c:pt idx="14">
                  <c:v>1.7029999999999994</c:v>
                </c:pt>
                <c:pt idx="15">
                  <c:v>1.6410000000000018</c:v>
                </c:pt>
                <c:pt idx="16">
                  <c:v>1.6400000000000006</c:v>
                </c:pt>
                <c:pt idx="17">
                  <c:v>1.6879999999999988</c:v>
                </c:pt>
                <c:pt idx="18">
                  <c:v>1.6089999999999982</c:v>
                </c:pt>
                <c:pt idx="19">
                  <c:v>1.6720000000000041</c:v>
                </c:pt>
                <c:pt idx="20">
                  <c:v>1.671999999999997</c:v>
                </c:pt>
                <c:pt idx="21">
                  <c:v>1.6409999999999982</c:v>
                </c:pt>
                <c:pt idx="22">
                  <c:v>1.6870000000000047</c:v>
                </c:pt>
                <c:pt idx="23">
                  <c:v>1.671999999999997</c:v>
                </c:pt>
                <c:pt idx="24">
                  <c:v>1.6409999999999982</c:v>
                </c:pt>
                <c:pt idx="25">
                  <c:v>1.6709999999999994</c:v>
                </c:pt>
                <c:pt idx="26">
                  <c:v>1.7190000000000012</c:v>
                </c:pt>
                <c:pt idx="27">
                  <c:v>1.6559999999999988</c:v>
                </c:pt>
                <c:pt idx="28">
                  <c:v>1.6720000000000041</c:v>
                </c:pt>
                <c:pt idx="29">
                  <c:v>1.6879999999999953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0B-469E-8772-3DC474460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UB, LB e ottimo</a:t>
            </a:r>
          </a:p>
        </c:rich>
      </c:tx>
      <c:layout>
        <c:manualLayout>
          <c:xMode val="edge"/>
          <c:yMode val="edge"/>
          <c:x val="0.40651355926417193"/>
          <c:y val="2.56157615596166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OTT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Non_guardare_perche_errato!$D$4:$D$33</c:f>
              <c:numCache>
                <c:formatCode>General</c:formatCode>
                <c:ptCount val="30"/>
                <c:pt idx="0">
                  <c:v>289</c:v>
                </c:pt>
                <c:pt idx="1">
                  <c:v>292</c:v>
                </c:pt>
                <c:pt idx="2">
                  <c:v>296</c:v>
                </c:pt>
                <c:pt idx="3">
                  <c:v>284</c:v>
                </c:pt>
                <c:pt idx="4">
                  <c:v>309</c:v>
                </c:pt>
                <c:pt idx="5">
                  <c:v>284</c:v>
                </c:pt>
                <c:pt idx="6">
                  <c:v>260</c:v>
                </c:pt>
                <c:pt idx="7">
                  <c:v>294</c:v>
                </c:pt>
                <c:pt idx="8">
                  <c:v>279</c:v>
                </c:pt>
                <c:pt idx="9">
                  <c:v>281</c:v>
                </c:pt>
                <c:pt idx="10">
                  <c:v>281</c:v>
                </c:pt>
                <c:pt idx="11">
                  <c:v>292</c:v>
                </c:pt>
                <c:pt idx="12">
                  <c:v>275</c:v>
                </c:pt>
                <c:pt idx="13">
                  <c:v>288</c:v>
                </c:pt>
                <c:pt idx="14">
                  <c:v>294</c:v>
                </c:pt>
                <c:pt idx="15">
                  <c:v>295</c:v>
                </c:pt>
                <c:pt idx="16">
                  <c:v>298</c:v>
                </c:pt>
                <c:pt idx="17">
                  <c:v>295</c:v>
                </c:pt>
                <c:pt idx="18">
                  <c:v>281</c:v>
                </c:pt>
                <c:pt idx="20">
                  <c:v>309</c:v>
                </c:pt>
                <c:pt idx="21">
                  <c:v>304</c:v>
                </c:pt>
                <c:pt idx="22">
                  <c:v>288</c:v>
                </c:pt>
                <c:pt idx="23">
                  <c:v>307</c:v>
                </c:pt>
                <c:pt idx="24">
                  <c:v>294</c:v>
                </c:pt>
                <c:pt idx="25">
                  <c:v>278</c:v>
                </c:pt>
                <c:pt idx="26">
                  <c:v>296</c:v>
                </c:pt>
                <c:pt idx="28">
                  <c:v>273</c:v>
                </c:pt>
                <c:pt idx="29">
                  <c:v>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BF-46BF-8B97-7357FAFBEDAF}"/>
            </c:ext>
          </c:extLst>
        </c:ser>
        <c:ser>
          <c:idx val="0"/>
          <c:order val="1"/>
          <c:tx>
            <c:v>LB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yVal>
            <c:numRef>
              <c:f>Non_guardare_perche_errato!$W$4:$W$33</c:f>
              <c:numCache>
                <c:formatCode>General</c:formatCode>
                <c:ptCount val="30"/>
                <c:pt idx="0">
                  <c:v>251</c:v>
                </c:pt>
                <c:pt idx="1">
                  <c:v>265</c:v>
                </c:pt>
                <c:pt idx="2">
                  <c:v>256</c:v>
                </c:pt>
                <c:pt idx="3">
                  <c:v>248</c:v>
                </c:pt>
                <c:pt idx="4">
                  <c:v>278</c:v>
                </c:pt>
                <c:pt idx="5">
                  <c:v>269</c:v>
                </c:pt>
                <c:pt idx="6">
                  <c:v>249</c:v>
                </c:pt>
                <c:pt idx="7">
                  <c:v>263</c:v>
                </c:pt>
                <c:pt idx="8">
                  <c:v>253</c:v>
                </c:pt>
                <c:pt idx="9">
                  <c:v>251</c:v>
                </c:pt>
                <c:pt idx="10">
                  <c:v>253</c:v>
                </c:pt>
                <c:pt idx="11">
                  <c:v>251</c:v>
                </c:pt>
                <c:pt idx="12">
                  <c:v>255</c:v>
                </c:pt>
                <c:pt idx="13">
                  <c:v>253</c:v>
                </c:pt>
                <c:pt idx="14">
                  <c:v>269</c:v>
                </c:pt>
                <c:pt idx="15">
                  <c:v>281</c:v>
                </c:pt>
                <c:pt idx="16">
                  <c:v>264</c:v>
                </c:pt>
                <c:pt idx="17">
                  <c:v>279</c:v>
                </c:pt>
                <c:pt idx="18">
                  <c:v>244</c:v>
                </c:pt>
                <c:pt idx="20">
                  <c:v>306</c:v>
                </c:pt>
                <c:pt idx="21">
                  <c:v>288</c:v>
                </c:pt>
                <c:pt idx="22">
                  <c:v>259</c:v>
                </c:pt>
                <c:pt idx="23">
                  <c:v>296</c:v>
                </c:pt>
                <c:pt idx="24">
                  <c:v>270</c:v>
                </c:pt>
                <c:pt idx="25">
                  <c:v>256</c:v>
                </c:pt>
                <c:pt idx="26">
                  <c:v>265</c:v>
                </c:pt>
                <c:pt idx="28">
                  <c:v>252</c:v>
                </c:pt>
                <c:pt idx="29">
                  <c:v>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BF-46BF-8B97-7357FAFBEDAF}"/>
            </c:ext>
          </c:extLst>
        </c:ser>
        <c:ser>
          <c:idx val="2"/>
          <c:order val="2"/>
          <c:tx>
            <c:v>UB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Non_guardare_perche_errato!$V$4:$V$33</c:f>
              <c:numCache>
                <c:formatCode>General</c:formatCode>
                <c:ptCount val="30"/>
                <c:pt idx="0">
                  <c:v>365</c:v>
                </c:pt>
                <c:pt idx="1">
                  <c:v>341</c:v>
                </c:pt>
                <c:pt idx="2">
                  <c:v>399</c:v>
                </c:pt>
                <c:pt idx="3">
                  <c:v>381</c:v>
                </c:pt>
                <c:pt idx="4">
                  <c:v>408</c:v>
                </c:pt>
                <c:pt idx="5">
                  <c:v>337</c:v>
                </c:pt>
                <c:pt idx="6">
                  <c:v>301</c:v>
                </c:pt>
                <c:pt idx="7">
                  <c:v>378</c:v>
                </c:pt>
                <c:pt idx="8">
                  <c:v>338</c:v>
                </c:pt>
                <c:pt idx="9">
                  <c:v>350</c:v>
                </c:pt>
                <c:pt idx="10">
                  <c:v>338</c:v>
                </c:pt>
                <c:pt idx="11">
                  <c:v>360</c:v>
                </c:pt>
                <c:pt idx="12">
                  <c:v>324</c:v>
                </c:pt>
                <c:pt idx="13">
                  <c:v>358</c:v>
                </c:pt>
                <c:pt idx="14">
                  <c:v>345</c:v>
                </c:pt>
                <c:pt idx="15">
                  <c:v>363</c:v>
                </c:pt>
                <c:pt idx="16">
                  <c:v>420</c:v>
                </c:pt>
                <c:pt idx="17">
                  <c:v>374</c:v>
                </c:pt>
                <c:pt idx="18">
                  <c:v>335</c:v>
                </c:pt>
                <c:pt idx="20">
                  <c:v>394</c:v>
                </c:pt>
                <c:pt idx="21">
                  <c:v>389</c:v>
                </c:pt>
                <c:pt idx="22">
                  <c:v>353</c:v>
                </c:pt>
                <c:pt idx="23">
                  <c:v>434</c:v>
                </c:pt>
                <c:pt idx="24">
                  <c:v>354</c:v>
                </c:pt>
                <c:pt idx="25">
                  <c:v>333</c:v>
                </c:pt>
                <c:pt idx="26">
                  <c:v>337</c:v>
                </c:pt>
                <c:pt idx="28">
                  <c:v>337</c:v>
                </c:pt>
                <c:pt idx="29">
                  <c:v>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BF-46BF-8B97-7357FAFBE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UB, LB e ottimo</a:t>
            </a:r>
          </a:p>
        </c:rich>
      </c:tx>
      <c:layout>
        <c:manualLayout>
          <c:xMode val="edge"/>
          <c:yMode val="edge"/>
          <c:x val="0.40651355926417193"/>
          <c:y val="2.56157615596166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OTT*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Non_guardare_perche_errato!$K$60:$K$89</c:f>
              <c:numCache>
                <c:formatCode>General</c:formatCode>
                <c:ptCount val="30"/>
                <c:pt idx="0">
                  <c:v>362</c:v>
                </c:pt>
                <c:pt idx="1">
                  <c:v>357</c:v>
                </c:pt>
                <c:pt idx="2">
                  <c:v>402</c:v>
                </c:pt>
                <c:pt idx="3">
                  <c:v>373</c:v>
                </c:pt>
                <c:pt idx="4">
                  <c:v>367</c:v>
                </c:pt>
                <c:pt idx="5">
                  <c:v>392</c:v>
                </c:pt>
                <c:pt idx="6">
                  <c:v>347</c:v>
                </c:pt>
                <c:pt idx="7">
                  <c:v>361</c:v>
                </c:pt>
                <c:pt idx="8">
                  <c:v>388</c:v>
                </c:pt>
                <c:pt idx="9">
                  <c:v>378</c:v>
                </c:pt>
                <c:pt idx="10">
                  <c:v>360</c:v>
                </c:pt>
                <c:pt idx="11">
                  <c:v>393</c:v>
                </c:pt>
                <c:pt idx="12">
                  <c:v>366</c:v>
                </c:pt>
                <c:pt idx="13">
                  <c:v>346</c:v>
                </c:pt>
                <c:pt idx="14">
                  <c:v>372</c:v>
                </c:pt>
                <c:pt idx="15">
                  <c:v>363</c:v>
                </c:pt>
                <c:pt idx="16">
                  <c:v>350</c:v>
                </c:pt>
                <c:pt idx="17">
                  <c:v>347</c:v>
                </c:pt>
                <c:pt idx="18">
                  <c:v>362</c:v>
                </c:pt>
                <c:pt idx="19">
                  <c:v>385</c:v>
                </c:pt>
                <c:pt idx="20">
                  <c:v>413</c:v>
                </c:pt>
                <c:pt idx="21">
                  <c:v>405</c:v>
                </c:pt>
                <c:pt idx="22">
                  <c:v>388</c:v>
                </c:pt>
                <c:pt idx="23">
                  <c:v>388</c:v>
                </c:pt>
                <c:pt idx="24">
                  <c:v>372</c:v>
                </c:pt>
                <c:pt idx="25">
                  <c:v>364</c:v>
                </c:pt>
                <c:pt idx="26">
                  <c:v>368</c:v>
                </c:pt>
                <c:pt idx="27">
                  <c:v>358</c:v>
                </c:pt>
                <c:pt idx="28">
                  <c:v>365</c:v>
                </c:pt>
                <c:pt idx="29">
                  <c:v>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4D-4009-9A92-EF68E1CEB35D}"/>
            </c:ext>
          </c:extLst>
        </c:ser>
        <c:ser>
          <c:idx val="0"/>
          <c:order val="1"/>
          <c:tx>
            <c:v>LB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yVal>
            <c:numRef>
              <c:f>Non_guardare_perche_errato!$W$60:$W$89</c:f>
              <c:numCache>
                <c:formatCode>General</c:formatCode>
                <c:ptCount val="30"/>
                <c:pt idx="0">
                  <c:v>318</c:v>
                </c:pt>
                <c:pt idx="1">
                  <c:v>320</c:v>
                </c:pt>
                <c:pt idx="2">
                  <c:v>364</c:v>
                </c:pt>
                <c:pt idx="3">
                  <c:v>349</c:v>
                </c:pt>
                <c:pt idx="4">
                  <c:v>312</c:v>
                </c:pt>
                <c:pt idx="5">
                  <c:v>369</c:v>
                </c:pt>
                <c:pt idx="6">
                  <c:v>322</c:v>
                </c:pt>
                <c:pt idx="7">
                  <c:v>316</c:v>
                </c:pt>
                <c:pt idx="8">
                  <c:v>329</c:v>
                </c:pt>
                <c:pt idx="9">
                  <c:v>312</c:v>
                </c:pt>
                <c:pt idx="10">
                  <c:v>320</c:v>
                </c:pt>
                <c:pt idx="11">
                  <c:v>339</c:v>
                </c:pt>
                <c:pt idx="12">
                  <c:v>314</c:v>
                </c:pt>
                <c:pt idx="13">
                  <c:v>310</c:v>
                </c:pt>
                <c:pt idx="14">
                  <c:v>346</c:v>
                </c:pt>
                <c:pt idx="15">
                  <c:v>315</c:v>
                </c:pt>
                <c:pt idx="16">
                  <c:v>308</c:v>
                </c:pt>
                <c:pt idx="17">
                  <c:v>322</c:v>
                </c:pt>
                <c:pt idx="18">
                  <c:v>318</c:v>
                </c:pt>
                <c:pt idx="19">
                  <c:v>327</c:v>
                </c:pt>
                <c:pt idx="20">
                  <c:v>337</c:v>
                </c:pt>
                <c:pt idx="21">
                  <c:v>344</c:v>
                </c:pt>
                <c:pt idx="22">
                  <c:v>334</c:v>
                </c:pt>
                <c:pt idx="23">
                  <c:v>339</c:v>
                </c:pt>
                <c:pt idx="24">
                  <c:v>331</c:v>
                </c:pt>
                <c:pt idx="25">
                  <c:v>319</c:v>
                </c:pt>
                <c:pt idx="26">
                  <c:v>339</c:v>
                </c:pt>
                <c:pt idx="27">
                  <c:v>310</c:v>
                </c:pt>
                <c:pt idx="28">
                  <c:v>329</c:v>
                </c:pt>
                <c:pt idx="29">
                  <c:v>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4D-4009-9A92-EF68E1CEB35D}"/>
            </c:ext>
          </c:extLst>
        </c:ser>
        <c:ser>
          <c:idx val="2"/>
          <c:order val="2"/>
          <c:tx>
            <c:v>UB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Non_guardare_perche_errato!$V$60:$V$89</c:f>
              <c:numCache>
                <c:formatCode>General</c:formatCode>
                <c:ptCount val="30"/>
                <c:pt idx="0">
                  <c:v>476</c:v>
                </c:pt>
                <c:pt idx="1">
                  <c:v>441</c:v>
                </c:pt>
                <c:pt idx="2">
                  <c:v>458</c:v>
                </c:pt>
                <c:pt idx="3">
                  <c:v>498</c:v>
                </c:pt>
                <c:pt idx="4">
                  <c:v>520</c:v>
                </c:pt>
                <c:pt idx="5">
                  <c:v>555</c:v>
                </c:pt>
                <c:pt idx="6">
                  <c:v>423</c:v>
                </c:pt>
                <c:pt idx="7">
                  <c:v>458</c:v>
                </c:pt>
                <c:pt idx="8">
                  <c:v>438</c:v>
                </c:pt>
                <c:pt idx="9">
                  <c:v>467</c:v>
                </c:pt>
                <c:pt idx="10">
                  <c:v>445</c:v>
                </c:pt>
                <c:pt idx="11">
                  <c:v>532</c:v>
                </c:pt>
                <c:pt idx="12">
                  <c:v>464</c:v>
                </c:pt>
                <c:pt idx="13">
                  <c:v>459</c:v>
                </c:pt>
                <c:pt idx="14">
                  <c:v>438</c:v>
                </c:pt>
                <c:pt idx="15">
                  <c:v>430</c:v>
                </c:pt>
                <c:pt idx="16">
                  <c:v>455</c:v>
                </c:pt>
                <c:pt idx="17">
                  <c:v>439</c:v>
                </c:pt>
                <c:pt idx="18">
                  <c:v>484</c:v>
                </c:pt>
                <c:pt idx="19">
                  <c:v>469</c:v>
                </c:pt>
                <c:pt idx="20">
                  <c:v>454</c:v>
                </c:pt>
                <c:pt idx="21">
                  <c:v>502</c:v>
                </c:pt>
                <c:pt idx="22">
                  <c:v>533</c:v>
                </c:pt>
                <c:pt idx="23">
                  <c:v>488</c:v>
                </c:pt>
                <c:pt idx="24">
                  <c:v>471</c:v>
                </c:pt>
                <c:pt idx="25">
                  <c:v>476</c:v>
                </c:pt>
                <c:pt idx="26">
                  <c:v>458</c:v>
                </c:pt>
                <c:pt idx="27">
                  <c:v>484</c:v>
                </c:pt>
                <c:pt idx="28">
                  <c:v>452</c:v>
                </c:pt>
                <c:pt idx="29">
                  <c:v>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4D-4009-9A92-EF68E1CEB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Distribuzione</a:t>
            </a:r>
            <a:r>
              <a:rPr lang="en-US" baseline="0"/>
              <a:t> errori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OTT</c:v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Non_guardare_perche_errato!$AH$5:$AH$11</c:f>
              <c:strCache>
                <c:ptCount val="7"/>
                <c:pt idx="0">
                  <c:v>0.00-0.10</c:v>
                </c:pt>
                <c:pt idx="1">
                  <c:v>0.10-0.20</c:v>
                </c:pt>
                <c:pt idx="2">
                  <c:v>0.20-0.30</c:v>
                </c:pt>
                <c:pt idx="3">
                  <c:v>0.30-0.40</c:v>
                </c:pt>
                <c:pt idx="4">
                  <c:v>0.40-0.50</c:v>
                </c:pt>
                <c:pt idx="5">
                  <c:v>0.50-0.60</c:v>
                </c:pt>
                <c:pt idx="6">
                  <c:v>0.60-1.00</c:v>
                </c:pt>
              </c:strCache>
            </c:strRef>
          </c:cat>
          <c:val>
            <c:numRef>
              <c:f>Non_guardare_perche_errato!$AE$181:$AE$187</c:f>
              <c:numCache>
                <c:formatCode>General</c:formatCode>
                <c:ptCount val="7"/>
                <c:pt idx="0">
                  <c:v>6.6666666666666666E-2</c:v>
                </c:pt>
                <c:pt idx="1">
                  <c:v>0.53333333333333333</c:v>
                </c:pt>
                <c:pt idx="2">
                  <c:v>0.3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3-4B3A-BAB4-ED4B1CC286A9}"/>
            </c:ext>
          </c:extLst>
        </c:ser>
        <c:ser>
          <c:idx val="1"/>
          <c:order val="1"/>
          <c:tx>
            <c:v>LB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Non_guardare_perche_errato!$AH$5:$AH$11</c:f>
              <c:strCache>
                <c:ptCount val="7"/>
                <c:pt idx="0">
                  <c:v>0.00-0.10</c:v>
                </c:pt>
                <c:pt idx="1">
                  <c:v>0.10-0.20</c:v>
                </c:pt>
                <c:pt idx="2">
                  <c:v>0.20-0.30</c:v>
                </c:pt>
                <c:pt idx="3">
                  <c:v>0.30-0.40</c:v>
                </c:pt>
                <c:pt idx="4">
                  <c:v>0.40-0.50</c:v>
                </c:pt>
                <c:pt idx="5">
                  <c:v>0.50-0.60</c:v>
                </c:pt>
                <c:pt idx="6">
                  <c:v>0.60-1.00</c:v>
                </c:pt>
              </c:strCache>
            </c:strRef>
          </c:cat>
          <c:val>
            <c:numRef>
              <c:f>Non_guardare_perche_errato!$AF$181:$AF$187</c:f>
              <c:numCache>
                <c:formatCode>General</c:formatCode>
                <c:ptCount val="7"/>
                <c:pt idx="0">
                  <c:v>0</c:v>
                </c:pt>
                <c:pt idx="1">
                  <c:v>0.13333333333333333</c:v>
                </c:pt>
                <c:pt idx="2">
                  <c:v>0.36666666666666664</c:v>
                </c:pt>
                <c:pt idx="3">
                  <c:v>0.4</c:v>
                </c:pt>
                <c:pt idx="4">
                  <c:v>3.3333333333333333E-2</c:v>
                </c:pt>
                <c:pt idx="5">
                  <c:v>3.3333333333333333E-2</c:v>
                </c:pt>
                <c:pt idx="6">
                  <c:v>3.3333333333333333E-2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53-4B3A-BAB4-ED4B1CC286A9}"/>
            </c:ext>
          </c:extLst>
        </c:ser>
        <c:ser>
          <c:idx val="2"/>
          <c:order val="2"/>
          <c:tx>
            <c:v>LB3</c:v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Non_guardare_perche_errato!$AG$181:$AG$187</c:f>
              <c:numCache>
                <c:formatCode>General</c:formatCode>
                <c:ptCount val="7"/>
                <c:pt idx="0">
                  <c:v>0</c:v>
                </c:pt>
                <c:pt idx="1">
                  <c:v>3.3333333333333333E-2</c:v>
                </c:pt>
                <c:pt idx="2">
                  <c:v>0.1</c:v>
                </c:pt>
                <c:pt idx="3">
                  <c:v>0.2</c:v>
                </c:pt>
                <c:pt idx="4">
                  <c:v>0.33333333333333331</c:v>
                </c:pt>
                <c:pt idx="5">
                  <c:v>0.2</c:v>
                </c:pt>
                <c:pt idx="6">
                  <c:v>0.13333333333333333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53-4B3A-BAB4-ED4B1CC28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384207"/>
        <c:axId val="1095383727"/>
      </c:barChart>
      <c:catAx>
        <c:axId val="109538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3727"/>
        <c:crosses val="autoZero"/>
        <c:auto val="1"/>
        <c:lblAlgn val="ctr"/>
        <c:lblOffset val="100"/>
        <c:noMultiLvlLbl val="0"/>
      </c:catAx>
      <c:valAx>
        <c:axId val="109538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Tempi</a:t>
            </a:r>
            <a:r>
              <a:rPr lang="en-US" baseline="0"/>
              <a:t> di calcolo SHBT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yVal>
            <c:numRef>
              <c:f>Non_guardare_perche_errato!$U$180:$U$209</c:f>
              <c:numCache>
                <c:formatCode>General</c:formatCode>
                <c:ptCount val="30"/>
                <c:pt idx="0">
                  <c:v>5.391</c:v>
                </c:pt>
                <c:pt idx="1">
                  <c:v>4.7029999999999994</c:v>
                </c:pt>
                <c:pt idx="2">
                  <c:v>5.1560000000000006</c:v>
                </c:pt>
                <c:pt idx="3">
                  <c:v>5.7659999999999982</c:v>
                </c:pt>
                <c:pt idx="4">
                  <c:v>5.7970000000000006</c:v>
                </c:pt>
                <c:pt idx="5">
                  <c:v>5.7810000000000024</c:v>
                </c:pt>
                <c:pt idx="6">
                  <c:v>5.9529999999999959</c:v>
                </c:pt>
                <c:pt idx="7">
                  <c:v>5.875</c:v>
                </c:pt>
                <c:pt idx="8">
                  <c:v>5.9380000000000024</c:v>
                </c:pt>
                <c:pt idx="9">
                  <c:v>7.078000000000003</c:v>
                </c:pt>
                <c:pt idx="10">
                  <c:v>7.296999999999997</c:v>
                </c:pt>
                <c:pt idx="11">
                  <c:v>6.625</c:v>
                </c:pt>
                <c:pt idx="12">
                  <c:v>6.4839999999999947</c:v>
                </c:pt>
                <c:pt idx="13">
                  <c:v>6.5630000000000024</c:v>
                </c:pt>
                <c:pt idx="14">
                  <c:v>6.7180000000000035</c:v>
                </c:pt>
                <c:pt idx="15">
                  <c:v>6.2349999999999994</c:v>
                </c:pt>
                <c:pt idx="16">
                  <c:v>6.0930000000000035</c:v>
                </c:pt>
                <c:pt idx="17">
                  <c:v>6.546999999999997</c:v>
                </c:pt>
                <c:pt idx="18">
                  <c:v>6.328000000000003</c:v>
                </c:pt>
                <c:pt idx="19">
                  <c:v>5.4849999999999994</c:v>
                </c:pt>
                <c:pt idx="20">
                  <c:v>5.25</c:v>
                </c:pt>
                <c:pt idx="21">
                  <c:v>6.2029999999999887</c:v>
                </c:pt>
                <c:pt idx="22">
                  <c:v>6.2340000000000089</c:v>
                </c:pt>
                <c:pt idx="23">
                  <c:v>6.125</c:v>
                </c:pt>
                <c:pt idx="24">
                  <c:v>6.046999999999997</c:v>
                </c:pt>
                <c:pt idx="25">
                  <c:v>6.3909999999999911</c:v>
                </c:pt>
                <c:pt idx="26">
                  <c:v>6.5620000000000118</c:v>
                </c:pt>
                <c:pt idx="27">
                  <c:v>6.1100000000000136</c:v>
                </c:pt>
                <c:pt idx="28">
                  <c:v>6.8429999999999893</c:v>
                </c:pt>
                <c:pt idx="29">
                  <c:v>6.4540000000000077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5A-4049-8643-2D0C9CC68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Distribuzione</a:t>
            </a:r>
            <a:r>
              <a:rPr lang="en-US" baseline="0"/>
              <a:t> errori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OTT</c:v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Non_guardare_perche_errato!$AH$5:$AH$11</c:f>
              <c:strCache>
                <c:ptCount val="7"/>
                <c:pt idx="0">
                  <c:v>0.00-0.10</c:v>
                </c:pt>
                <c:pt idx="1">
                  <c:v>0.10-0.20</c:v>
                </c:pt>
                <c:pt idx="2">
                  <c:v>0.20-0.30</c:v>
                </c:pt>
                <c:pt idx="3">
                  <c:v>0.30-0.40</c:v>
                </c:pt>
                <c:pt idx="4">
                  <c:v>0.40-0.50</c:v>
                </c:pt>
                <c:pt idx="5">
                  <c:v>0.50-0.60</c:v>
                </c:pt>
                <c:pt idx="6">
                  <c:v>0.60-1.00</c:v>
                </c:pt>
              </c:strCache>
            </c:strRef>
          </c:cat>
          <c:val>
            <c:numRef>
              <c:f>Non_guardare_perche_errato!$AE$181:$AE$187</c:f>
              <c:numCache>
                <c:formatCode>General</c:formatCode>
                <c:ptCount val="7"/>
                <c:pt idx="0">
                  <c:v>6.6666666666666666E-2</c:v>
                </c:pt>
                <c:pt idx="1">
                  <c:v>0.53333333333333333</c:v>
                </c:pt>
                <c:pt idx="2">
                  <c:v>0.3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4-4EE3-94C0-D5501FFEB3B7}"/>
            </c:ext>
          </c:extLst>
        </c:ser>
        <c:ser>
          <c:idx val="1"/>
          <c:order val="1"/>
          <c:tx>
            <c:v>LB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Non_guardare_perche_errato!$AH$5:$AH$11</c:f>
              <c:strCache>
                <c:ptCount val="7"/>
                <c:pt idx="0">
                  <c:v>0.00-0.10</c:v>
                </c:pt>
                <c:pt idx="1">
                  <c:v>0.10-0.20</c:v>
                </c:pt>
                <c:pt idx="2">
                  <c:v>0.20-0.30</c:v>
                </c:pt>
                <c:pt idx="3">
                  <c:v>0.30-0.40</c:v>
                </c:pt>
                <c:pt idx="4">
                  <c:v>0.40-0.50</c:v>
                </c:pt>
                <c:pt idx="5">
                  <c:v>0.50-0.60</c:v>
                </c:pt>
                <c:pt idx="6">
                  <c:v>0.60-1.00</c:v>
                </c:pt>
              </c:strCache>
            </c:strRef>
          </c:cat>
          <c:val>
            <c:numRef>
              <c:f>Non_guardare_perche_errato!$AF$181:$AF$187</c:f>
              <c:numCache>
                <c:formatCode>General</c:formatCode>
                <c:ptCount val="7"/>
                <c:pt idx="0">
                  <c:v>0</c:v>
                </c:pt>
                <c:pt idx="1">
                  <c:v>0.13333333333333333</c:v>
                </c:pt>
                <c:pt idx="2">
                  <c:v>0.36666666666666664</c:v>
                </c:pt>
                <c:pt idx="3">
                  <c:v>0.4</c:v>
                </c:pt>
                <c:pt idx="4">
                  <c:v>3.3333333333333333E-2</c:v>
                </c:pt>
                <c:pt idx="5">
                  <c:v>3.3333333333333333E-2</c:v>
                </c:pt>
                <c:pt idx="6">
                  <c:v>3.3333333333333333E-2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84-4EE3-94C0-D5501FFEB3B7}"/>
            </c:ext>
          </c:extLst>
        </c:ser>
        <c:ser>
          <c:idx val="2"/>
          <c:order val="2"/>
          <c:tx>
            <c:v>LB3</c:v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Non_guardare_perche_errato!$AG$181:$AG$187</c:f>
              <c:numCache>
                <c:formatCode>General</c:formatCode>
                <c:ptCount val="7"/>
                <c:pt idx="0">
                  <c:v>0</c:v>
                </c:pt>
                <c:pt idx="1">
                  <c:v>3.3333333333333333E-2</c:v>
                </c:pt>
                <c:pt idx="2">
                  <c:v>0.1</c:v>
                </c:pt>
                <c:pt idx="3">
                  <c:v>0.2</c:v>
                </c:pt>
                <c:pt idx="4">
                  <c:v>0.33333333333333331</c:v>
                </c:pt>
                <c:pt idx="5">
                  <c:v>0.2</c:v>
                </c:pt>
                <c:pt idx="6">
                  <c:v>0.13333333333333333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84-4EE3-94C0-D5501FFEB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384207"/>
        <c:axId val="1095383727"/>
      </c:barChart>
      <c:catAx>
        <c:axId val="109538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3727"/>
        <c:crosses val="autoZero"/>
        <c:auto val="1"/>
        <c:lblAlgn val="ctr"/>
        <c:lblOffset val="100"/>
        <c:noMultiLvlLbl val="0"/>
      </c:catAx>
      <c:valAx>
        <c:axId val="109538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8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Tempi</a:t>
            </a:r>
            <a:r>
              <a:rPr lang="en-US" baseline="0"/>
              <a:t> di calcolo SHBT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yVal>
            <c:numRef>
              <c:f>Non_guardare_perche_errato!$U$239:$U$268</c:f>
              <c:numCache>
                <c:formatCode>General</c:formatCode>
                <c:ptCount val="30"/>
                <c:pt idx="0">
                  <c:v>58.796999999999997</c:v>
                </c:pt>
                <c:pt idx="1">
                  <c:v>60.016000000000005</c:v>
                </c:pt>
                <c:pt idx="2">
                  <c:v>63.202999999999989</c:v>
                </c:pt>
                <c:pt idx="3">
                  <c:v>80.342999999999989</c:v>
                </c:pt>
                <c:pt idx="4">
                  <c:v>78.01600000000002</c:v>
                </c:pt>
                <c:pt idx="5">
                  <c:v>67.468999999999994</c:v>
                </c:pt>
                <c:pt idx="6">
                  <c:v>67.172000000000025</c:v>
                </c:pt>
                <c:pt idx="7">
                  <c:v>73.953000000000031</c:v>
                </c:pt>
                <c:pt idx="8">
                  <c:v>63.108999999999924</c:v>
                </c:pt>
                <c:pt idx="9">
                  <c:v>74.610000000000014</c:v>
                </c:pt>
                <c:pt idx="10">
                  <c:v>71.952999999999975</c:v>
                </c:pt>
                <c:pt idx="11">
                  <c:v>80.593000000000075</c:v>
                </c:pt>
                <c:pt idx="12">
                  <c:v>77.093999999999937</c:v>
                </c:pt>
                <c:pt idx="13">
                  <c:v>83.062999999999988</c:v>
                </c:pt>
                <c:pt idx="14">
                  <c:v>70.375000000000114</c:v>
                </c:pt>
                <c:pt idx="15">
                  <c:v>60.889999999999873</c:v>
                </c:pt>
                <c:pt idx="16">
                  <c:v>73.797000000000025</c:v>
                </c:pt>
                <c:pt idx="17">
                  <c:v>66.047000000000025</c:v>
                </c:pt>
                <c:pt idx="18">
                  <c:v>73.655999999999949</c:v>
                </c:pt>
                <c:pt idx="19">
                  <c:v>69.452999999999975</c:v>
                </c:pt>
                <c:pt idx="20">
                  <c:v>73.375</c:v>
                </c:pt>
                <c:pt idx="21">
                  <c:v>67.907000000000153</c:v>
                </c:pt>
                <c:pt idx="22">
                  <c:v>69.280999999999949</c:v>
                </c:pt>
                <c:pt idx="23">
                  <c:v>61.922000000000025</c:v>
                </c:pt>
                <c:pt idx="24">
                  <c:v>72.452999999999975</c:v>
                </c:pt>
                <c:pt idx="25">
                  <c:v>73.719000000000051</c:v>
                </c:pt>
                <c:pt idx="26">
                  <c:v>71.625</c:v>
                </c:pt>
                <c:pt idx="27">
                  <c:v>72.592999999999847</c:v>
                </c:pt>
                <c:pt idx="28">
                  <c:v>65.938000000000102</c:v>
                </c:pt>
                <c:pt idx="29">
                  <c:v>95.030999999999949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E0-4E3A-918D-DCE3CBFC3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UB, LB e ottimo</a:t>
            </a:r>
          </a:p>
        </c:rich>
      </c:tx>
      <c:layout>
        <c:manualLayout>
          <c:xMode val="edge"/>
          <c:yMode val="edge"/>
          <c:x val="0.40651355926417193"/>
          <c:y val="2.56157615596166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OTT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Non_guardare_perche_errato!$C$117:$C$146</c:f>
              <c:numCache>
                <c:formatCode>General</c:formatCode>
                <c:ptCount val="30"/>
                <c:pt idx="0">
                  <c:v>155</c:v>
                </c:pt>
                <c:pt idx="1">
                  <c:v>179</c:v>
                </c:pt>
                <c:pt idx="2">
                  <c:v>180</c:v>
                </c:pt>
                <c:pt idx="3">
                  <c:v>164</c:v>
                </c:pt>
                <c:pt idx="4">
                  <c:v>182</c:v>
                </c:pt>
                <c:pt idx="5">
                  <c:v>174</c:v>
                </c:pt>
                <c:pt idx="6">
                  <c:v>177</c:v>
                </c:pt>
                <c:pt idx="7">
                  <c:v>187</c:v>
                </c:pt>
                <c:pt idx="8">
                  <c:v>165</c:v>
                </c:pt>
                <c:pt idx="9">
                  <c:v>170</c:v>
                </c:pt>
                <c:pt idx="10">
                  <c:v>189</c:v>
                </c:pt>
                <c:pt idx="11">
                  <c:v>169</c:v>
                </c:pt>
                <c:pt idx="12">
                  <c:v>173</c:v>
                </c:pt>
                <c:pt idx="13">
                  <c:v>173</c:v>
                </c:pt>
                <c:pt idx="14">
                  <c:v>192</c:v>
                </c:pt>
                <c:pt idx="15">
                  <c:v>183</c:v>
                </c:pt>
                <c:pt idx="16">
                  <c:v>171</c:v>
                </c:pt>
                <c:pt idx="17">
                  <c:v>144</c:v>
                </c:pt>
                <c:pt idx="18">
                  <c:v>165</c:v>
                </c:pt>
                <c:pt idx="19">
                  <c:v>195</c:v>
                </c:pt>
                <c:pt idx="20">
                  <c:v>159</c:v>
                </c:pt>
                <c:pt idx="21">
                  <c:v>142</c:v>
                </c:pt>
                <c:pt idx="22">
                  <c:v>181</c:v>
                </c:pt>
                <c:pt idx="23">
                  <c:v>191</c:v>
                </c:pt>
                <c:pt idx="24">
                  <c:v>154</c:v>
                </c:pt>
                <c:pt idx="25">
                  <c:v>169</c:v>
                </c:pt>
                <c:pt idx="26">
                  <c:v>175</c:v>
                </c:pt>
                <c:pt idx="27">
                  <c:v>196</c:v>
                </c:pt>
                <c:pt idx="28">
                  <c:v>149</c:v>
                </c:pt>
                <c:pt idx="29">
                  <c:v>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AA-49FC-9E89-E7EAA46F6F23}"/>
            </c:ext>
          </c:extLst>
        </c:ser>
        <c:ser>
          <c:idx val="0"/>
          <c:order val="1"/>
          <c:tx>
            <c:v>LB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yVal>
            <c:numRef>
              <c:f>Non_guardare_perche_errato!$W$117:$W$146</c:f>
              <c:numCache>
                <c:formatCode>General</c:formatCode>
                <c:ptCount val="30"/>
                <c:pt idx="0">
                  <c:v>155</c:v>
                </c:pt>
                <c:pt idx="1">
                  <c:v>163</c:v>
                </c:pt>
                <c:pt idx="2">
                  <c:v>167</c:v>
                </c:pt>
                <c:pt idx="3">
                  <c:v>152</c:v>
                </c:pt>
                <c:pt idx="4">
                  <c:v>172</c:v>
                </c:pt>
                <c:pt idx="5">
                  <c:v>154</c:v>
                </c:pt>
                <c:pt idx="6">
                  <c:v>170</c:v>
                </c:pt>
                <c:pt idx="7">
                  <c:v>163</c:v>
                </c:pt>
                <c:pt idx="8">
                  <c:v>145</c:v>
                </c:pt>
                <c:pt idx="9">
                  <c:v>148</c:v>
                </c:pt>
                <c:pt idx="10">
                  <c:v>177</c:v>
                </c:pt>
                <c:pt idx="11">
                  <c:v>156</c:v>
                </c:pt>
                <c:pt idx="12">
                  <c:v>146</c:v>
                </c:pt>
                <c:pt idx="13">
                  <c:v>168</c:v>
                </c:pt>
                <c:pt idx="14">
                  <c:v>171</c:v>
                </c:pt>
                <c:pt idx="15">
                  <c:v>170</c:v>
                </c:pt>
                <c:pt idx="16">
                  <c:v>147</c:v>
                </c:pt>
                <c:pt idx="17">
                  <c:v>136</c:v>
                </c:pt>
                <c:pt idx="18">
                  <c:v>154</c:v>
                </c:pt>
                <c:pt idx="19">
                  <c:v>194</c:v>
                </c:pt>
                <c:pt idx="20">
                  <c:v>144</c:v>
                </c:pt>
                <c:pt idx="21">
                  <c:v>141</c:v>
                </c:pt>
                <c:pt idx="22">
                  <c:v>161</c:v>
                </c:pt>
                <c:pt idx="23">
                  <c:v>169</c:v>
                </c:pt>
                <c:pt idx="24">
                  <c:v>144</c:v>
                </c:pt>
                <c:pt idx="25">
                  <c:v>158</c:v>
                </c:pt>
                <c:pt idx="26">
                  <c:v>170</c:v>
                </c:pt>
                <c:pt idx="27">
                  <c:v>184</c:v>
                </c:pt>
                <c:pt idx="28">
                  <c:v>138</c:v>
                </c:pt>
                <c:pt idx="29">
                  <c:v>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AA-49FC-9E89-E7EAA46F6F23}"/>
            </c:ext>
          </c:extLst>
        </c:ser>
        <c:ser>
          <c:idx val="2"/>
          <c:order val="2"/>
          <c:tx>
            <c:v>UB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Non_guardare_perche_errato!$V$117:$V$146</c:f>
              <c:numCache>
                <c:formatCode>General</c:formatCode>
                <c:ptCount val="30"/>
                <c:pt idx="0">
                  <c:v>168</c:v>
                </c:pt>
                <c:pt idx="1">
                  <c:v>186</c:v>
                </c:pt>
                <c:pt idx="2">
                  <c:v>184</c:v>
                </c:pt>
                <c:pt idx="3">
                  <c:v>173</c:v>
                </c:pt>
                <c:pt idx="4">
                  <c:v>224</c:v>
                </c:pt>
                <c:pt idx="5">
                  <c:v>195</c:v>
                </c:pt>
                <c:pt idx="6">
                  <c:v>198</c:v>
                </c:pt>
                <c:pt idx="7">
                  <c:v>219</c:v>
                </c:pt>
                <c:pt idx="8">
                  <c:v>187</c:v>
                </c:pt>
                <c:pt idx="9">
                  <c:v>188</c:v>
                </c:pt>
                <c:pt idx="10">
                  <c:v>190</c:v>
                </c:pt>
                <c:pt idx="11">
                  <c:v>208</c:v>
                </c:pt>
                <c:pt idx="12">
                  <c:v>201</c:v>
                </c:pt>
                <c:pt idx="13">
                  <c:v>183</c:v>
                </c:pt>
                <c:pt idx="14">
                  <c:v>229</c:v>
                </c:pt>
                <c:pt idx="15">
                  <c:v>193</c:v>
                </c:pt>
                <c:pt idx="16">
                  <c:v>211</c:v>
                </c:pt>
                <c:pt idx="17">
                  <c:v>156</c:v>
                </c:pt>
                <c:pt idx="18">
                  <c:v>180</c:v>
                </c:pt>
                <c:pt idx="19">
                  <c:v>198</c:v>
                </c:pt>
                <c:pt idx="20">
                  <c:v>174</c:v>
                </c:pt>
                <c:pt idx="21">
                  <c:v>152</c:v>
                </c:pt>
                <c:pt idx="22">
                  <c:v>198</c:v>
                </c:pt>
                <c:pt idx="23">
                  <c:v>208</c:v>
                </c:pt>
                <c:pt idx="24">
                  <c:v>169</c:v>
                </c:pt>
                <c:pt idx="25">
                  <c:v>194</c:v>
                </c:pt>
                <c:pt idx="26">
                  <c:v>200</c:v>
                </c:pt>
                <c:pt idx="27">
                  <c:v>209</c:v>
                </c:pt>
                <c:pt idx="28">
                  <c:v>160</c:v>
                </c:pt>
                <c:pt idx="29">
                  <c:v>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AA-49FC-9E89-E7EAA46F6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UB, LB e ottimo</a:t>
            </a:r>
          </a:p>
        </c:rich>
      </c:tx>
      <c:layout>
        <c:manualLayout>
          <c:xMode val="edge"/>
          <c:yMode val="edge"/>
          <c:x val="0.40651355926417193"/>
          <c:y val="2.56157615596166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OTT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Non_guardare_perche_errato!$C$180:$C$209</c:f>
              <c:numCache>
                <c:formatCode>General</c:formatCode>
                <c:ptCount val="30"/>
                <c:pt idx="0">
                  <c:v>245</c:v>
                </c:pt>
                <c:pt idx="1">
                  <c:v>250</c:v>
                </c:pt>
                <c:pt idx="2">
                  <c:v>242</c:v>
                </c:pt>
                <c:pt idx="3">
                  <c:v>263</c:v>
                </c:pt>
                <c:pt idx="4">
                  <c:v>243</c:v>
                </c:pt>
                <c:pt idx="5">
                  <c:v>246</c:v>
                </c:pt>
                <c:pt idx="6">
                  <c:v>238</c:v>
                </c:pt>
                <c:pt idx="7">
                  <c:v>268</c:v>
                </c:pt>
                <c:pt idx="8">
                  <c:v>217</c:v>
                </c:pt>
                <c:pt idx="9">
                  <c:v>242</c:v>
                </c:pt>
                <c:pt idx="10">
                  <c:v>235</c:v>
                </c:pt>
                <c:pt idx="11">
                  <c:v>234</c:v>
                </c:pt>
                <c:pt idx="12">
                  <c:v>236</c:v>
                </c:pt>
                <c:pt idx="13">
                  <c:v>271</c:v>
                </c:pt>
                <c:pt idx="14">
                  <c:v>241</c:v>
                </c:pt>
                <c:pt idx="15">
                  <c:v>227</c:v>
                </c:pt>
                <c:pt idx="16">
                  <c:v>275</c:v>
                </c:pt>
                <c:pt idx="17">
                  <c:v>232</c:v>
                </c:pt>
                <c:pt idx="18">
                  <c:v>222</c:v>
                </c:pt>
                <c:pt idx="19">
                  <c:v>239</c:v>
                </c:pt>
                <c:pt idx="20">
                  <c:v>242</c:v>
                </c:pt>
                <c:pt idx="21">
                  <c:v>273</c:v>
                </c:pt>
                <c:pt idx="22">
                  <c:v>248</c:v>
                </c:pt>
                <c:pt idx="23">
                  <c:v>256</c:v>
                </c:pt>
                <c:pt idx="24">
                  <c:v>238</c:v>
                </c:pt>
                <c:pt idx="25">
                  <c:v>265</c:v>
                </c:pt>
                <c:pt idx="26">
                  <c:v>248</c:v>
                </c:pt>
                <c:pt idx="27">
                  <c:v>228</c:v>
                </c:pt>
                <c:pt idx="28">
                  <c:v>208</c:v>
                </c:pt>
                <c:pt idx="29">
                  <c:v>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45-45E7-8A25-17DEBD06F736}"/>
            </c:ext>
          </c:extLst>
        </c:ser>
        <c:ser>
          <c:idx val="0"/>
          <c:order val="1"/>
          <c:tx>
            <c:v>LB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yVal>
            <c:numRef>
              <c:f>Non_guardare_perche_errato!$W$180:$W$209</c:f>
              <c:numCache>
                <c:formatCode>General</c:formatCode>
                <c:ptCount val="30"/>
                <c:pt idx="0">
                  <c:v>217</c:v>
                </c:pt>
                <c:pt idx="1">
                  <c:v>227</c:v>
                </c:pt>
                <c:pt idx="2">
                  <c:v>218</c:v>
                </c:pt>
                <c:pt idx="3">
                  <c:v>262</c:v>
                </c:pt>
                <c:pt idx="4">
                  <c:v>221</c:v>
                </c:pt>
                <c:pt idx="5">
                  <c:v>229</c:v>
                </c:pt>
                <c:pt idx="6">
                  <c:v>226</c:v>
                </c:pt>
                <c:pt idx="7">
                  <c:v>248</c:v>
                </c:pt>
                <c:pt idx="8">
                  <c:v>205</c:v>
                </c:pt>
                <c:pt idx="9">
                  <c:v>230</c:v>
                </c:pt>
                <c:pt idx="10">
                  <c:v>220</c:v>
                </c:pt>
                <c:pt idx="11">
                  <c:v>214</c:v>
                </c:pt>
                <c:pt idx="12">
                  <c:v>236</c:v>
                </c:pt>
                <c:pt idx="13">
                  <c:v>247</c:v>
                </c:pt>
                <c:pt idx="14">
                  <c:v>221</c:v>
                </c:pt>
                <c:pt idx="15">
                  <c:v>217</c:v>
                </c:pt>
                <c:pt idx="16">
                  <c:v>270</c:v>
                </c:pt>
                <c:pt idx="17">
                  <c:v>207</c:v>
                </c:pt>
                <c:pt idx="18">
                  <c:v>208</c:v>
                </c:pt>
                <c:pt idx="19">
                  <c:v>220</c:v>
                </c:pt>
                <c:pt idx="20">
                  <c:v>220</c:v>
                </c:pt>
                <c:pt idx="21">
                  <c:v>237</c:v>
                </c:pt>
                <c:pt idx="22">
                  <c:v>224</c:v>
                </c:pt>
                <c:pt idx="23">
                  <c:v>235</c:v>
                </c:pt>
                <c:pt idx="24">
                  <c:v>234</c:v>
                </c:pt>
                <c:pt idx="25">
                  <c:v>242</c:v>
                </c:pt>
                <c:pt idx="26">
                  <c:v>220</c:v>
                </c:pt>
                <c:pt idx="27">
                  <c:v>213</c:v>
                </c:pt>
                <c:pt idx="28">
                  <c:v>201</c:v>
                </c:pt>
                <c:pt idx="29">
                  <c:v>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45-45E7-8A25-17DEBD06F736}"/>
            </c:ext>
          </c:extLst>
        </c:ser>
        <c:ser>
          <c:idx val="2"/>
          <c:order val="2"/>
          <c:tx>
            <c:v>UB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Non_guardare_perche_errato!$V$180:$V$209</c:f>
              <c:numCache>
                <c:formatCode>General</c:formatCode>
                <c:ptCount val="30"/>
                <c:pt idx="0">
                  <c:v>264</c:v>
                </c:pt>
                <c:pt idx="1">
                  <c:v>297</c:v>
                </c:pt>
                <c:pt idx="2">
                  <c:v>286</c:v>
                </c:pt>
                <c:pt idx="3">
                  <c:v>350</c:v>
                </c:pt>
                <c:pt idx="4">
                  <c:v>314</c:v>
                </c:pt>
                <c:pt idx="5">
                  <c:v>299</c:v>
                </c:pt>
                <c:pt idx="6">
                  <c:v>299</c:v>
                </c:pt>
                <c:pt idx="7">
                  <c:v>304</c:v>
                </c:pt>
                <c:pt idx="8">
                  <c:v>270</c:v>
                </c:pt>
                <c:pt idx="9">
                  <c:v>284</c:v>
                </c:pt>
                <c:pt idx="10">
                  <c:v>289</c:v>
                </c:pt>
                <c:pt idx="11">
                  <c:v>287</c:v>
                </c:pt>
                <c:pt idx="12">
                  <c:v>301</c:v>
                </c:pt>
                <c:pt idx="13">
                  <c:v>305</c:v>
                </c:pt>
                <c:pt idx="14">
                  <c:v>280</c:v>
                </c:pt>
                <c:pt idx="15">
                  <c:v>254</c:v>
                </c:pt>
                <c:pt idx="16">
                  <c:v>316</c:v>
                </c:pt>
                <c:pt idx="17">
                  <c:v>278</c:v>
                </c:pt>
                <c:pt idx="18">
                  <c:v>240</c:v>
                </c:pt>
                <c:pt idx="19">
                  <c:v>278</c:v>
                </c:pt>
                <c:pt idx="20">
                  <c:v>286</c:v>
                </c:pt>
                <c:pt idx="21">
                  <c:v>382</c:v>
                </c:pt>
                <c:pt idx="22">
                  <c:v>288</c:v>
                </c:pt>
                <c:pt idx="23">
                  <c:v>308</c:v>
                </c:pt>
                <c:pt idx="24">
                  <c:v>284</c:v>
                </c:pt>
                <c:pt idx="25">
                  <c:v>329</c:v>
                </c:pt>
                <c:pt idx="26">
                  <c:v>341</c:v>
                </c:pt>
                <c:pt idx="27">
                  <c:v>258</c:v>
                </c:pt>
                <c:pt idx="28">
                  <c:v>249</c:v>
                </c:pt>
                <c:pt idx="29">
                  <c:v>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45-45E7-8A25-17DEBD06F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93759"/>
        <c:axId val="1302794719"/>
      </c:scatterChart>
      <c:valAx>
        <c:axId val="13027937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02794719"/>
        <c:crosses val="autoZero"/>
        <c:crossBetween val="midCat"/>
      </c:valAx>
      <c:valAx>
        <c:axId val="13027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9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Tempi</a:t>
            </a:r>
            <a:r>
              <a:rPr lang="en-US" baseline="0"/>
              <a:t> di calcolo GUROBI</a:t>
            </a:r>
            <a:endParaRPr lang="en-US"/>
          </a:p>
        </c:rich>
      </c:tx>
      <c:layout>
        <c:manualLayout>
          <c:xMode val="edge"/>
          <c:yMode val="edge"/>
          <c:x val="0.36843390937777282"/>
          <c:y val="2.65654622495019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yVal>
            <c:numRef>
              <c:f>Non_guardare_perche_errato!$D$180:$D$209</c:f>
              <c:numCache>
                <c:formatCode>General</c:formatCode>
                <c:ptCount val="30"/>
                <c:pt idx="0">
                  <c:v>0.875</c:v>
                </c:pt>
                <c:pt idx="1">
                  <c:v>2.359</c:v>
                </c:pt>
                <c:pt idx="2">
                  <c:v>1.0469999999999997</c:v>
                </c:pt>
                <c:pt idx="3">
                  <c:v>4.9059999999999997</c:v>
                </c:pt>
                <c:pt idx="4">
                  <c:v>1.968</c:v>
                </c:pt>
                <c:pt idx="5">
                  <c:v>2.2030000000000012</c:v>
                </c:pt>
                <c:pt idx="6">
                  <c:v>2.1869999999999994</c:v>
                </c:pt>
                <c:pt idx="7">
                  <c:v>1.6880000000000006</c:v>
                </c:pt>
                <c:pt idx="8">
                  <c:v>2.1409999999999982</c:v>
                </c:pt>
                <c:pt idx="9">
                  <c:v>2.7660000000000018</c:v>
                </c:pt>
                <c:pt idx="10">
                  <c:v>5.3279999999999994</c:v>
                </c:pt>
                <c:pt idx="11">
                  <c:v>1.3910000000000018</c:v>
                </c:pt>
                <c:pt idx="12">
                  <c:v>1.0319999999999965</c:v>
                </c:pt>
                <c:pt idx="13">
                  <c:v>2.8120000000000047</c:v>
                </c:pt>
                <c:pt idx="14">
                  <c:v>1.25</c:v>
                </c:pt>
                <c:pt idx="15">
                  <c:v>0.92199999999999704</c:v>
                </c:pt>
                <c:pt idx="16">
                  <c:v>3.3440000000000012</c:v>
                </c:pt>
                <c:pt idx="17">
                  <c:v>1.7809999999999988</c:v>
                </c:pt>
                <c:pt idx="18">
                  <c:v>1.3909999999999982</c:v>
                </c:pt>
                <c:pt idx="19">
                  <c:v>2.5</c:v>
                </c:pt>
                <c:pt idx="20">
                  <c:v>2.6409999999999982</c:v>
                </c:pt>
                <c:pt idx="21">
                  <c:v>5.8430000000000035</c:v>
                </c:pt>
                <c:pt idx="22">
                  <c:v>1.9380000000000024</c:v>
                </c:pt>
                <c:pt idx="23">
                  <c:v>6.2029999999999959</c:v>
                </c:pt>
                <c:pt idx="24">
                  <c:v>1.5320000000000036</c:v>
                </c:pt>
                <c:pt idx="25">
                  <c:v>2.2809999999999917</c:v>
                </c:pt>
                <c:pt idx="26">
                  <c:v>2.1400000000000006</c:v>
                </c:pt>
                <c:pt idx="27">
                  <c:v>1.2820000000000107</c:v>
                </c:pt>
                <c:pt idx="28">
                  <c:v>1.6569999999999965</c:v>
                </c:pt>
                <c:pt idx="29">
                  <c:v>1.8430000000000035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FE-442E-9305-267B4D934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564719"/>
        <c:axId val="1400565199"/>
      </c:scatterChart>
      <c:valAx>
        <c:axId val="140056471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400565199"/>
        <c:crosses val="autoZero"/>
        <c:crossBetween val="midCat"/>
      </c:valAx>
      <c:valAx>
        <c:axId val="140056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6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Tempi</a:t>
            </a:r>
            <a:r>
              <a:rPr lang="en-US" baseline="0"/>
              <a:t> di calcolo GUROBI</a:t>
            </a:r>
            <a:endParaRPr lang="en-US"/>
          </a:p>
        </c:rich>
      </c:tx>
      <c:layout>
        <c:manualLayout>
          <c:xMode val="edge"/>
          <c:yMode val="edge"/>
          <c:x val="0.36843390937777282"/>
          <c:y val="2.65654622495019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yVal>
            <c:numRef>
              <c:f>Non_guardare_perche_errato!$D$180:$D$209</c:f>
              <c:numCache>
                <c:formatCode>General</c:formatCode>
                <c:ptCount val="30"/>
                <c:pt idx="0">
                  <c:v>0.875</c:v>
                </c:pt>
                <c:pt idx="1">
                  <c:v>2.359</c:v>
                </c:pt>
                <c:pt idx="2">
                  <c:v>1.0469999999999997</c:v>
                </c:pt>
                <c:pt idx="3">
                  <c:v>4.9059999999999997</c:v>
                </c:pt>
                <c:pt idx="4">
                  <c:v>1.968</c:v>
                </c:pt>
                <c:pt idx="5">
                  <c:v>2.2030000000000012</c:v>
                </c:pt>
                <c:pt idx="6">
                  <c:v>2.1869999999999994</c:v>
                </c:pt>
                <c:pt idx="7">
                  <c:v>1.6880000000000006</c:v>
                </c:pt>
                <c:pt idx="8">
                  <c:v>2.1409999999999982</c:v>
                </c:pt>
                <c:pt idx="9">
                  <c:v>2.7660000000000018</c:v>
                </c:pt>
                <c:pt idx="10">
                  <c:v>5.3279999999999994</c:v>
                </c:pt>
                <c:pt idx="11">
                  <c:v>1.3910000000000018</c:v>
                </c:pt>
                <c:pt idx="12">
                  <c:v>1.0319999999999965</c:v>
                </c:pt>
                <c:pt idx="13">
                  <c:v>2.8120000000000047</c:v>
                </c:pt>
                <c:pt idx="14">
                  <c:v>1.25</c:v>
                </c:pt>
                <c:pt idx="15">
                  <c:v>0.92199999999999704</c:v>
                </c:pt>
                <c:pt idx="16">
                  <c:v>3.3440000000000012</c:v>
                </c:pt>
                <c:pt idx="17">
                  <c:v>1.7809999999999988</c:v>
                </c:pt>
                <c:pt idx="18">
                  <c:v>1.3909999999999982</c:v>
                </c:pt>
                <c:pt idx="19">
                  <c:v>2.5</c:v>
                </c:pt>
                <c:pt idx="20">
                  <c:v>2.6409999999999982</c:v>
                </c:pt>
                <c:pt idx="21">
                  <c:v>5.8430000000000035</c:v>
                </c:pt>
                <c:pt idx="22">
                  <c:v>1.9380000000000024</c:v>
                </c:pt>
                <c:pt idx="23">
                  <c:v>6.2029999999999959</c:v>
                </c:pt>
                <c:pt idx="24">
                  <c:v>1.5320000000000036</c:v>
                </c:pt>
                <c:pt idx="25">
                  <c:v>2.2809999999999917</c:v>
                </c:pt>
                <c:pt idx="26">
                  <c:v>2.1400000000000006</c:v>
                </c:pt>
                <c:pt idx="27">
                  <c:v>1.2820000000000107</c:v>
                </c:pt>
                <c:pt idx="28">
                  <c:v>1.6569999999999965</c:v>
                </c:pt>
                <c:pt idx="29">
                  <c:v>1.8430000000000035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58-41E3-B1A3-8EA213225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564719"/>
        <c:axId val="1400565199"/>
      </c:scatterChart>
      <c:valAx>
        <c:axId val="140056471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400565199"/>
        <c:crosses val="autoZero"/>
        <c:crossBetween val="midCat"/>
      </c:valAx>
      <c:valAx>
        <c:axId val="140056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6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Tempi</a:t>
            </a:r>
            <a:r>
              <a:rPr lang="en-US" baseline="0"/>
              <a:t> di calcolo GUROBI</a:t>
            </a:r>
            <a:endParaRPr lang="en-US"/>
          </a:p>
        </c:rich>
      </c:tx>
      <c:layout>
        <c:manualLayout>
          <c:xMode val="edge"/>
          <c:yMode val="edge"/>
          <c:x val="0.36843390937777282"/>
          <c:y val="2.65654622495019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yVal>
            <c:numRef>
              <c:f>Non_guardare_perche_errato!$D$117:$D$146</c:f>
              <c:numCache>
                <c:formatCode>General</c:formatCode>
                <c:ptCount val="30"/>
                <c:pt idx="0">
                  <c:v>9.2999999999999999E-2</c:v>
                </c:pt>
                <c:pt idx="1">
                  <c:v>6.2E-2</c:v>
                </c:pt>
                <c:pt idx="2">
                  <c:v>0.156</c:v>
                </c:pt>
                <c:pt idx="3">
                  <c:v>6.2E-2</c:v>
                </c:pt>
                <c:pt idx="4">
                  <c:v>4.6999999999999986E-2</c:v>
                </c:pt>
                <c:pt idx="5">
                  <c:v>6.2E-2</c:v>
                </c:pt>
                <c:pt idx="6">
                  <c:v>6.2000000000000055E-2</c:v>
                </c:pt>
                <c:pt idx="7">
                  <c:v>0.15599999999999992</c:v>
                </c:pt>
                <c:pt idx="8">
                  <c:v>0.125</c:v>
                </c:pt>
                <c:pt idx="9">
                  <c:v>0.125</c:v>
                </c:pt>
                <c:pt idx="10">
                  <c:v>9.4000000000000083E-2</c:v>
                </c:pt>
                <c:pt idx="11">
                  <c:v>0.18700000000000006</c:v>
                </c:pt>
                <c:pt idx="12">
                  <c:v>0.1399999999999999</c:v>
                </c:pt>
                <c:pt idx="13">
                  <c:v>0.10899999999999999</c:v>
                </c:pt>
                <c:pt idx="14">
                  <c:v>0.18700000000000006</c:v>
                </c:pt>
                <c:pt idx="15">
                  <c:v>4.6999999999999931E-2</c:v>
                </c:pt>
                <c:pt idx="16">
                  <c:v>0.20300000000000007</c:v>
                </c:pt>
                <c:pt idx="17">
                  <c:v>6.2999999999999945E-2</c:v>
                </c:pt>
                <c:pt idx="18">
                  <c:v>6.3000000000000167E-2</c:v>
                </c:pt>
                <c:pt idx="19">
                  <c:v>0.17199999999999971</c:v>
                </c:pt>
                <c:pt idx="20">
                  <c:v>4.7000000000000153E-2</c:v>
                </c:pt>
                <c:pt idx="21">
                  <c:v>7.7999999999999847E-2</c:v>
                </c:pt>
                <c:pt idx="22">
                  <c:v>6.3000000000000167E-2</c:v>
                </c:pt>
                <c:pt idx="23">
                  <c:v>0.10899999999999999</c:v>
                </c:pt>
                <c:pt idx="24">
                  <c:v>7.7999999999999847E-2</c:v>
                </c:pt>
                <c:pt idx="25">
                  <c:v>4.7000000000000153E-2</c:v>
                </c:pt>
                <c:pt idx="26">
                  <c:v>6.3000000000000167E-2</c:v>
                </c:pt>
                <c:pt idx="27">
                  <c:v>0.26499999999999968</c:v>
                </c:pt>
                <c:pt idx="28">
                  <c:v>6.2000000000000277E-2</c:v>
                </c:pt>
                <c:pt idx="29">
                  <c:v>0.10899999999999999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3F-4025-90C8-BB4A46C89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564719"/>
        <c:axId val="1400565199"/>
      </c:scatterChart>
      <c:valAx>
        <c:axId val="140056471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400565199"/>
        <c:crosses val="autoZero"/>
        <c:crossBetween val="midCat"/>
      </c:valAx>
      <c:valAx>
        <c:axId val="140056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6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13" Type="http://schemas.openxmlformats.org/officeDocument/2006/relationships/chart" Target="../charts/chart27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12" Type="http://schemas.openxmlformats.org/officeDocument/2006/relationships/chart" Target="../charts/chart26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5" Type="http://schemas.openxmlformats.org/officeDocument/2006/relationships/chart" Target="../charts/chart19.xml"/><Relationship Id="rId10" Type="http://schemas.openxmlformats.org/officeDocument/2006/relationships/chart" Target="../charts/chart24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Relationship Id="rId14" Type="http://schemas.openxmlformats.org/officeDocument/2006/relationships/chart" Target="../charts/chart2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5" Type="http://schemas.openxmlformats.org/officeDocument/2006/relationships/chart" Target="../charts/chart33.xml"/><Relationship Id="rId4" Type="http://schemas.openxmlformats.org/officeDocument/2006/relationships/chart" Target="../charts/chart32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2.xml"/><Relationship Id="rId13" Type="http://schemas.openxmlformats.org/officeDocument/2006/relationships/chart" Target="../charts/chart47.xml"/><Relationship Id="rId18" Type="http://schemas.openxmlformats.org/officeDocument/2006/relationships/chart" Target="../charts/chart52.xml"/><Relationship Id="rId3" Type="http://schemas.openxmlformats.org/officeDocument/2006/relationships/chart" Target="../charts/chart37.xml"/><Relationship Id="rId21" Type="http://schemas.openxmlformats.org/officeDocument/2006/relationships/chart" Target="../charts/chart55.xml"/><Relationship Id="rId7" Type="http://schemas.openxmlformats.org/officeDocument/2006/relationships/chart" Target="../charts/chart41.xml"/><Relationship Id="rId12" Type="http://schemas.openxmlformats.org/officeDocument/2006/relationships/chart" Target="../charts/chart46.xml"/><Relationship Id="rId17" Type="http://schemas.openxmlformats.org/officeDocument/2006/relationships/chart" Target="../charts/chart51.xml"/><Relationship Id="rId2" Type="http://schemas.openxmlformats.org/officeDocument/2006/relationships/chart" Target="../charts/chart36.xml"/><Relationship Id="rId16" Type="http://schemas.openxmlformats.org/officeDocument/2006/relationships/chart" Target="../charts/chart50.xml"/><Relationship Id="rId20" Type="http://schemas.openxmlformats.org/officeDocument/2006/relationships/chart" Target="../charts/chart54.xml"/><Relationship Id="rId1" Type="http://schemas.openxmlformats.org/officeDocument/2006/relationships/chart" Target="../charts/chart35.xml"/><Relationship Id="rId6" Type="http://schemas.openxmlformats.org/officeDocument/2006/relationships/chart" Target="../charts/chart40.xml"/><Relationship Id="rId11" Type="http://schemas.openxmlformats.org/officeDocument/2006/relationships/chart" Target="../charts/chart45.xml"/><Relationship Id="rId5" Type="http://schemas.openxmlformats.org/officeDocument/2006/relationships/chart" Target="../charts/chart39.xml"/><Relationship Id="rId15" Type="http://schemas.openxmlformats.org/officeDocument/2006/relationships/chart" Target="../charts/chart49.xml"/><Relationship Id="rId23" Type="http://schemas.openxmlformats.org/officeDocument/2006/relationships/chart" Target="../charts/chart57.xml"/><Relationship Id="rId10" Type="http://schemas.openxmlformats.org/officeDocument/2006/relationships/chart" Target="../charts/chart44.xml"/><Relationship Id="rId19" Type="http://schemas.openxmlformats.org/officeDocument/2006/relationships/chart" Target="../charts/chart53.xml"/><Relationship Id="rId4" Type="http://schemas.openxmlformats.org/officeDocument/2006/relationships/chart" Target="../charts/chart38.xml"/><Relationship Id="rId9" Type="http://schemas.openxmlformats.org/officeDocument/2006/relationships/chart" Target="../charts/chart43.xml"/><Relationship Id="rId14" Type="http://schemas.openxmlformats.org/officeDocument/2006/relationships/chart" Target="../charts/chart48.xml"/><Relationship Id="rId22" Type="http://schemas.openxmlformats.org/officeDocument/2006/relationships/chart" Target="../charts/chart5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5.xml"/><Relationship Id="rId13" Type="http://schemas.openxmlformats.org/officeDocument/2006/relationships/chart" Target="../charts/chart70.xml"/><Relationship Id="rId18" Type="http://schemas.openxmlformats.org/officeDocument/2006/relationships/chart" Target="../charts/chart75.xml"/><Relationship Id="rId3" Type="http://schemas.openxmlformats.org/officeDocument/2006/relationships/chart" Target="../charts/chart60.xml"/><Relationship Id="rId7" Type="http://schemas.openxmlformats.org/officeDocument/2006/relationships/chart" Target="../charts/chart64.xml"/><Relationship Id="rId12" Type="http://schemas.openxmlformats.org/officeDocument/2006/relationships/chart" Target="../charts/chart69.xml"/><Relationship Id="rId17" Type="http://schemas.openxmlformats.org/officeDocument/2006/relationships/chart" Target="../charts/chart74.xml"/><Relationship Id="rId2" Type="http://schemas.openxmlformats.org/officeDocument/2006/relationships/chart" Target="../charts/chart59.xml"/><Relationship Id="rId16" Type="http://schemas.openxmlformats.org/officeDocument/2006/relationships/chart" Target="../charts/chart73.xml"/><Relationship Id="rId1" Type="http://schemas.openxmlformats.org/officeDocument/2006/relationships/chart" Target="../charts/chart58.xml"/><Relationship Id="rId6" Type="http://schemas.openxmlformats.org/officeDocument/2006/relationships/chart" Target="../charts/chart63.xml"/><Relationship Id="rId11" Type="http://schemas.openxmlformats.org/officeDocument/2006/relationships/chart" Target="../charts/chart68.xml"/><Relationship Id="rId5" Type="http://schemas.openxmlformats.org/officeDocument/2006/relationships/chart" Target="../charts/chart62.xml"/><Relationship Id="rId15" Type="http://schemas.openxmlformats.org/officeDocument/2006/relationships/chart" Target="../charts/chart72.xml"/><Relationship Id="rId10" Type="http://schemas.openxmlformats.org/officeDocument/2006/relationships/chart" Target="../charts/chart67.xml"/><Relationship Id="rId19" Type="http://schemas.openxmlformats.org/officeDocument/2006/relationships/chart" Target="../charts/chart76.xml"/><Relationship Id="rId4" Type="http://schemas.openxmlformats.org/officeDocument/2006/relationships/chart" Target="../charts/chart61.xml"/><Relationship Id="rId9" Type="http://schemas.openxmlformats.org/officeDocument/2006/relationships/chart" Target="../charts/chart66.xml"/><Relationship Id="rId14" Type="http://schemas.openxmlformats.org/officeDocument/2006/relationships/chart" Target="../charts/chart7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587828</xdr:colOff>
      <xdr:row>13</xdr:row>
      <xdr:rowOff>179614</xdr:rowOff>
    </xdr:from>
    <xdr:to>
      <xdr:col>29</xdr:col>
      <xdr:colOff>283028</xdr:colOff>
      <xdr:row>28</xdr:row>
      <xdr:rowOff>146957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1B59D03-7228-4FB6-A730-A9DE92778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217714</xdr:colOff>
      <xdr:row>38</xdr:row>
      <xdr:rowOff>32657</xdr:rowOff>
    </xdr:from>
    <xdr:to>
      <xdr:col>8</xdr:col>
      <xdr:colOff>161305</xdr:colOff>
      <xdr:row>53</xdr:row>
      <xdr:rowOff>46016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38775200-CD28-4D33-A969-E0FE87F9F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446314</xdr:colOff>
      <xdr:row>37</xdr:row>
      <xdr:rowOff>108858</xdr:rowOff>
    </xdr:from>
    <xdr:to>
      <xdr:col>17</xdr:col>
      <xdr:colOff>370113</xdr:colOff>
      <xdr:row>53</xdr:row>
      <xdr:rowOff>100446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39035ED-7FFD-48C3-BFC4-CEF78082F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523502</xdr:colOff>
      <xdr:row>96</xdr:row>
      <xdr:rowOff>87086</xdr:rowOff>
    </xdr:from>
    <xdr:to>
      <xdr:col>17</xdr:col>
      <xdr:colOff>447301</xdr:colOff>
      <xdr:row>112</xdr:row>
      <xdr:rowOff>157843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CCA8CC47-B97F-4DA5-A4E2-86D4F25AA3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97</xdr:row>
      <xdr:rowOff>495</xdr:rowOff>
    </xdr:from>
    <xdr:to>
      <xdr:col>7</xdr:col>
      <xdr:colOff>555171</xdr:colOff>
      <xdr:row>112</xdr:row>
      <xdr:rowOff>93024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4DAEA805-2169-4269-8CBA-0C65EC48C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340424</xdr:colOff>
      <xdr:row>158</xdr:row>
      <xdr:rowOff>13856</xdr:rowOff>
    </xdr:from>
    <xdr:to>
      <xdr:col>17</xdr:col>
      <xdr:colOff>264223</xdr:colOff>
      <xdr:row>174</xdr:row>
      <xdr:rowOff>84612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0BBEF61D-6900-4929-AF6E-C8CB89125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158</xdr:row>
      <xdr:rowOff>495</xdr:rowOff>
    </xdr:from>
    <xdr:to>
      <xdr:col>7</xdr:col>
      <xdr:colOff>555171</xdr:colOff>
      <xdr:row>173</xdr:row>
      <xdr:rowOff>93024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2EA1DAC9-A361-4A7A-9123-668E05F2B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91440</xdr:colOff>
      <xdr:row>72</xdr:row>
      <xdr:rowOff>77288</xdr:rowOff>
    </xdr:from>
    <xdr:to>
      <xdr:col>29</xdr:col>
      <xdr:colOff>396240</xdr:colOff>
      <xdr:row>87</xdr:row>
      <xdr:rowOff>44631</xdr:rowOff>
    </xdr:to>
    <xdr:graphicFrame macro="">
      <xdr:nvGraphicFramePr>
        <xdr:cNvPr id="20" name="Grafico 19">
          <a:extLst>
            <a:ext uri="{FF2B5EF4-FFF2-40B4-BE49-F238E27FC236}">
              <a16:creationId xmlns:a16="http://schemas.microsoft.com/office/drawing/2014/main" id="{906E378A-02DF-4F1C-88AF-457F85544E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95795</xdr:colOff>
      <xdr:row>71</xdr:row>
      <xdr:rowOff>60960</xdr:rowOff>
    </xdr:from>
    <xdr:to>
      <xdr:col>37</xdr:col>
      <xdr:colOff>494211</xdr:colOff>
      <xdr:row>87</xdr:row>
      <xdr:rowOff>129541</xdr:rowOff>
    </xdr:to>
    <xdr:graphicFrame macro="">
      <xdr:nvGraphicFramePr>
        <xdr:cNvPr id="21" name="Grafico 20">
          <a:extLst>
            <a:ext uri="{FF2B5EF4-FFF2-40B4-BE49-F238E27FC236}">
              <a16:creationId xmlns:a16="http://schemas.microsoft.com/office/drawing/2014/main" id="{E12FEB7F-6C00-4ACF-BB04-B97E1241D9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29</xdr:col>
      <xdr:colOff>732544</xdr:colOff>
      <xdr:row>13</xdr:row>
      <xdr:rowOff>65315</xdr:rowOff>
    </xdr:from>
    <xdr:to>
      <xdr:col>37</xdr:col>
      <xdr:colOff>288278</xdr:colOff>
      <xdr:row>29</xdr:row>
      <xdr:rowOff>133896</xdr:rowOff>
    </xdr:to>
    <xdr:graphicFrame macro="">
      <xdr:nvGraphicFramePr>
        <xdr:cNvPr id="22" name="Grafico 21">
          <a:extLst>
            <a:ext uri="{FF2B5EF4-FFF2-40B4-BE49-F238E27FC236}">
              <a16:creationId xmlns:a16="http://schemas.microsoft.com/office/drawing/2014/main" id="{42D4596E-994A-4174-90B2-DDA523807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544285</xdr:colOff>
      <xdr:row>133</xdr:row>
      <xdr:rowOff>76200</xdr:rowOff>
    </xdr:from>
    <xdr:to>
      <xdr:col>29</xdr:col>
      <xdr:colOff>239485</xdr:colOff>
      <xdr:row>148</xdr:row>
      <xdr:rowOff>43543</xdr:rowOff>
    </xdr:to>
    <xdr:graphicFrame macro="">
      <xdr:nvGraphicFramePr>
        <xdr:cNvPr id="23" name="Grafico 22">
          <a:extLst>
            <a:ext uri="{FF2B5EF4-FFF2-40B4-BE49-F238E27FC236}">
              <a16:creationId xmlns:a16="http://schemas.microsoft.com/office/drawing/2014/main" id="{C89B7DA4-C066-417C-A24D-8B5FBEFED8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29</xdr:col>
      <xdr:colOff>729343</xdr:colOff>
      <xdr:row>133</xdr:row>
      <xdr:rowOff>10886</xdr:rowOff>
    </xdr:from>
    <xdr:to>
      <xdr:col>37</xdr:col>
      <xdr:colOff>289559</xdr:colOff>
      <xdr:row>149</xdr:row>
      <xdr:rowOff>79467</xdr:rowOff>
    </xdr:to>
    <xdr:graphicFrame macro="">
      <xdr:nvGraphicFramePr>
        <xdr:cNvPr id="24" name="Grafico 23">
          <a:extLst>
            <a:ext uri="{FF2B5EF4-FFF2-40B4-BE49-F238E27FC236}">
              <a16:creationId xmlns:a16="http://schemas.microsoft.com/office/drawing/2014/main" id="{A068ACF8-55D8-42BC-9DA0-989125D5E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614083</xdr:colOff>
      <xdr:row>176</xdr:row>
      <xdr:rowOff>170330</xdr:rowOff>
    </xdr:from>
    <xdr:to>
      <xdr:col>16</xdr:col>
      <xdr:colOff>282389</xdr:colOff>
      <xdr:row>192</xdr:row>
      <xdr:rowOff>44824</xdr:rowOff>
    </xdr:to>
    <xdr:graphicFrame macro="">
      <xdr:nvGraphicFramePr>
        <xdr:cNvPr id="25" name="Grafico 24">
          <a:extLst>
            <a:ext uri="{FF2B5EF4-FFF2-40B4-BE49-F238E27FC236}">
              <a16:creationId xmlns:a16="http://schemas.microsoft.com/office/drawing/2014/main" id="{288BA863-FB5B-BBAD-025B-E832D697A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595745</xdr:colOff>
      <xdr:row>193</xdr:row>
      <xdr:rowOff>110836</xdr:rowOff>
    </xdr:from>
    <xdr:to>
      <xdr:col>16</xdr:col>
      <xdr:colOff>264051</xdr:colOff>
      <xdr:row>208</xdr:row>
      <xdr:rowOff>165439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F42416AA-55EC-41D4-968E-FDAE7DAB6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587828</xdr:colOff>
      <xdr:row>13</xdr:row>
      <xdr:rowOff>179614</xdr:rowOff>
    </xdr:from>
    <xdr:to>
      <xdr:col>29</xdr:col>
      <xdr:colOff>283028</xdr:colOff>
      <xdr:row>28</xdr:row>
      <xdr:rowOff>146957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20994FB-44B0-46F0-A48D-4B9440DDE1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217714</xdr:colOff>
      <xdr:row>38</xdr:row>
      <xdr:rowOff>32657</xdr:rowOff>
    </xdr:from>
    <xdr:to>
      <xdr:col>8</xdr:col>
      <xdr:colOff>161305</xdr:colOff>
      <xdr:row>53</xdr:row>
      <xdr:rowOff>46016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FBD199C8-6436-486C-82B2-7C450F6BC3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446314</xdr:colOff>
      <xdr:row>37</xdr:row>
      <xdr:rowOff>108858</xdr:rowOff>
    </xdr:from>
    <xdr:to>
      <xdr:col>17</xdr:col>
      <xdr:colOff>370113</xdr:colOff>
      <xdr:row>53</xdr:row>
      <xdr:rowOff>100446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6BB544C1-9FED-44ED-A66D-833AE996FE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523502</xdr:colOff>
      <xdr:row>96</xdr:row>
      <xdr:rowOff>87086</xdr:rowOff>
    </xdr:from>
    <xdr:to>
      <xdr:col>17</xdr:col>
      <xdr:colOff>447301</xdr:colOff>
      <xdr:row>112</xdr:row>
      <xdr:rowOff>157843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E4B6F5F7-4CBA-4FB6-BCC0-8C5BB89F7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97</xdr:row>
      <xdr:rowOff>495</xdr:rowOff>
    </xdr:from>
    <xdr:to>
      <xdr:col>7</xdr:col>
      <xdr:colOff>555171</xdr:colOff>
      <xdr:row>112</xdr:row>
      <xdr:rowOff>93024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0F529B10-A306-4616-A7DC-92B6C8BD7B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340424</xdr:colOff>
      <xdr:row>158</xdr:row>
      <xdr:rowOff>13856</xdr:rowOff>
    </xdr:from>
    <xdr:to>
      <xdr:col>17</xdr:col>
      <xdr:colOff>264223</xdr:colOff>
      <xdr:row>174</xdr:row>
      <xdr:rowOff>84612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563B18F7-BD20-4A3B-94CB-61807063C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158</xdr:row>
      <xdr:rowOff>495</xdr:rowOff>
    </xdr:from>
    <xdr:to>
      <xdr:col>7</xdr:col>
      <xdr:colOff>555171</xdr:colOff>
      <xdr:row>173</xdr:row>
      <xdr:rowOff>93024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F464A669-F98C-4E1B-87E4-CA5A6D27A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91440</xdr:colOff>
      <xdr:row>72</xdr:row>
      <xdr:rowOff>77288</xdr:rowOff>
    </xdr:from>
    <xdr:to>
      <xdr:col>29</xdr:col>
      <xdr:colOff>396240</xdr:colOff>
      <xdr:row>87</xdr:row>
      <xdr:rowOff>44631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19CEB0B5-4383-46EE-92CB-F8F76D86F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95795</xdr:colOff>
      <xdr:row>71</xdr:row>
      <xdr:rowOff>60960</xdr:rowOff>
    </xdr:from>
    <xdr:to>
      <xdr:col>37</xdr:col>
      <xdr:colOff>494211</xdr:colOff>
      <xdr:row>87</xdr:row>
      <xdr:rowOff>129541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2423AEC2-F461-47A8-B30A-D2607C4994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29</xdr:col>
      <xdr:colOff>732544</xdr:colOff>
      <xdr:row>13</xdr:row>
      <xdr:rowOff>65315</xdr:rowOff>
    </xdr:from>
    <xdr:to>
      <xdr:col>37</xdr:col>
      <xdr:colOff>288278</xdr:colOff>
      <xdr:row>29</xdr:row>
      <xdr:rowOff>133896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792642EC-CC2D-4608-B4FA-8710BC3574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544285</xdr:colOff>
      <xdr:row>133</xdr:row>
      <xdr:rowOff>76200</xdr:rowOff>
    </xdr:from>
    <xdr:to>
      <xdr:col>29</xdr:col>
      <xdr:colOff>239485</xdr:colOff>
      <xdr:row>148</xdr:row>
      <xdr:rowOff>43543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AA27633D-C471-4AEE-96E2-A421440944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29</xdr:col>
      <xdr:colOff>729343</xdr:colOff>
      <xdr:row>133</xdr:row>
      <xdr:rowOff>10886</xdr:rowOff>
    </xdr:from>
    <xdr:to>
      <xdr:col>37</xdr:col>
      <xdr:colOff>289559</xdr:colOff>
      <xdr:row>149</xdr:row>
      <xdr:rowOff>79467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FA82C718-6636-427C-B4A9-77E1C310D6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614083</xdr:colOff>
      <xdr:row>176</xdr:row>
      <xdr:rowOff>170330</xdr:rowOff>
    </xdr:from>
    <xdr:to>
      <xdr:col>16</xdr:col>
      <xdr:colOff>282389</xdr:colOff>
      <xdr:row>192</xdr:row>
      <xdr:rowOff>44824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A231E8F6-3524-49BB-9715-98F2EE4C4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595745</xdr:colOff>
      <xdr:row>193</xdr:row>
      <xdr:rowOff>110836</xdr:rowOff>
    </xdr:from>
    <xdr:to>
      <xdr:col>16</xdr:col>
      <xdr:colOff>264051</xdr:colOff>
      <xdr:row>208</xdr:row>
      <xdr:rowOff>165439</xdr:rowOff>
    </xdr:to>
    <xdr:graphicFrame macro="">
      <xdr:nvGraphicFramePr>
        <xdr:cNvPr id="15" name="Grafico 14">
          <a:extLst>
            <a:ext uri="{FF2B5EF4-FFF2-40B4-BE49-F238E27FC236}">
              <a16:creationId xmlns:a16="http://schemas.microsoft.com/office/drawing/2014/main" id="{C8E1B18B-E265-4A97-A001-A7F0569BC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446184</xdr:colOff>
      <xdr:row>116</xdr:row>
      <xdr:rowOff>123565</xdr:rowOff>
    </xdr:from>
    <xdr:to>
      <xdr:col>9</xdr:col>
      <xdr:colOff>740229</xdr:colOff>
      <xdr:row>138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4333AD5-256E-4CC8-A3FF-1EFC3FAFA3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1954306</xdr:colOff>
      <xdr:row>143</xdr:row>
      <xdr:rowOff>116541</xdr:rowOff>
    </xdr:from>
    <xdr:to>
      <xdr:col>12</xdr:col>
      <xdr:colOff>295835</xdr:colOff>
      <xdr:row>159</xdr:row>
      <xdr:rowOff>143434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7214A7AC-01FB-4CE8-A885-1177A5590A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648718</xdr:colOff>
      <xdr:row>143</xdr:row>
      <xdr:rowOff>140991</xdr:rowOff>
    </xdr:from>
    <xdr:to>
      <xdr:col>15</xdr:col>
      <xdr:colOff>749774</xdr:colOff>
      <xdr:row>159</xdr:row>
      <xdr:rowOff>167883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5D415B7E-718C-4F80-9A38-410C8296CF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32658</xdr:colOff>
      <xdr:row>162</xdr:row>
      <xdr:rowOff>32657</xdr:rowOff>
    </xdr:from>
    <xdr:to>
      <xdr:col>12</xdr:col>
      <xdr:colOff>351428</xdr:colOff>
      <xdr:row>178</xdr:row>
      <xdr:rowOff>59548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A9105675-6245-48C2-9DE7-A6E6862903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779929</xdr:colOff>
      <xdr:row>162</xdr:row>
      <xdr:rowOff>26894</xdr:rowOff>
    </xdr:from>
    <xdr:to>
      <xdr:col>15</xdr:col>
      <xdr:colOff>874581</xdr:colOff>
      <xdr:row>178</xdr:row>
      <xdr:rowOff>53785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623FC38F-BF11-4BFB-A57C-E0777146B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21772</xdr:colOff>
      <xdr:row>162</xdr:row>
      <xdr:rowOff>10885</xdr:rowOff>
    </xdr:from>
    <xdr:to>
      <xdr:col>22</xdr:col>
      <xdr:colOff>192101</xdr:colOff>
      <xdr:row>178</xdr:row>
      <xdr:rowOff>37777</xdr:rowOff>
    </xdr:to>
    <xdr:graphicFrame macro="">
      <xdr:nvGraphicFramePr>
        <xdr:cNvPr id="16" name="Grafico 15">
          <a:extLst>
            <a:ext uri="{FF2B5EF4-FFF2-40B4-BE49-F238E27FC236}">
              <a16:creationId xmlns:a16="http://schemas.microsoft.com/office/drawing/2014/main" id="{9DE363D6-F2C8-4E42-BFCE-194CA8C321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587828</xdr:colOff>
      <xdr:row>13</xdr:row>
      <xdr:rowOff>179614</xdr:rowOff>
    </xdr:from>
    <xdr:to>
      <xdr:col>23</xdr:col>
      <xdr:colOff>283028</xdr:colOff>
      <xdr:row>28</xdr:row>
      <xdr:rowOff>146957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BB11F05-415C-46CE-8F46-01A7C2AEBD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446314</xdr:colOff>
      <xdr:row>37</xdr:row>
      <xdr:rowOff>108858</xdr:rowOff>
    </xdr:from>
    <xdr:to>
      <xdr:col>11</xdr:col>
      <xdr:colOff>370113</xdr:colOff>
      <xdr:row>53</xdr:row>
      <xdr:rowOff>100446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2A9A95E-2378-4FF9-A850-9693D358B3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523502</xdr:colOff>
      <xdr:row>96</xdr:row>
      <xdr:rowOff>87086</xdr:rowOff>
    </xdr:from>
    <xdr:to>
      <xdr:col>11</xdr:col>
      <xdr:colOff>447301</xdr:colOff>
      <xdr:row>112</xdr:row>
      <xdr:rowOff>157843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CB50D6BA-C6F6-45D7-93A0-D22A7D767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732544</xdr:colOff>
      <xdr:row>13</xdr:row>
      <xdr:rowOff>65315</xdr:rowOff>
    </xdr:from>
    <xdr:to>
      <xdr:col>31</xdr:col>
      <xdr:colOff>288278</xdr:colOff>
      <xdr:row>29</xdr:row>
      <xdr:rowOff>133896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854E86AB-C291-4837-A3F3-24B90BEFC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74</xdr:row>
      <xdr:rowOff>114299</xdr:rowOff>
    </xdr:from>
    <xdr:to>
      <xdr:col>23</xdr:col>
      <xdr:colOff>302741</xdr:colOff>
      <xdr:row>89</xdr:row>
      <xdr:rowOff>81643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91401EC6-F45D-4F20-8A2B-FE2FEDC9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22796</xdr:colOff>
      <xdr:row>74</xdr:row>
      <xdr:rowOff>0</xdr:rowOff>
    </xdr:from>
    <xdr:to>
      <xdr:col>31</xdr:col>
      <xdr:colOff>307991</xdr:colOff>
      <xdr:row>90</xdr:row>
      <xdr:rowOff>68581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5D18C8BD-7355-465C-A848-A22FBE361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523502</xdr:colOff>
      <xdr:row>155</xdr:row>
      <xdr:rowOff>87086</xdr:rowOff>
    </xdr:from>
    <xdr:to>
      <xdr:col>11</xdr:col>
      <xdr:colOff>447301</xdr:colOff>
      <xdr:row>171</xdr:row>
      <xdr:rowOff>157843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4BE12332-8BAF-4D0C-83EB-1281E186D5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133</xdr:row>
      <xdr:rowOff>114299</xdr:rowOff>
    </xdr:from>
    <xdr:to>
      <xdr:col>23</xdr:col>
      <xdr:colOff>302741</xdr:colOff>
      <xdr:row>148</xdr:row>
      <xdr:rowOff>81643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897BE075-600B-49CF-8A2C-91D2B62A6E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22796</xdr:colOff>
      <xdr:row>133</xdr:row>
      <xdr:rowOff>0</xdr:rowOff>
    </xdr:from>
    <xdr:to>
      <xdr:col>31</xdr:col>
      <xdr:colOff>307991</xdr:colOff>
      <xdr:row>149</xdr:row>
      <xdr:rowOff>68581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9FE3008C-EF82-4D6C-A26A-48E213BD42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380999</xdr:colOff>
      <xdr:row>310</xdr:row>
      <xdr:rowOff>123567</xdr:rowOff>
    </xdr:from>
    <xdr:to>
      <xdr:col>14</xdr:col>
      <xdr:colOff>147102</xdr:colOff>
      <xdr:row>325</xdr:row>
      <xdr:rowOff>178705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7D2B6B1C-3C96-45BC-A3E4-C1AACBA0B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123568</xdr:colOff>
      <xdr:row>310</xdr:row>
      <xdr:rowOff>164757</xdr:rowOff>
    </xdr:from>
    <xdr:to>
      <xdr:col>22</xdr:col>
      <xdr:colOff>497212</xdr:colOff>
      <xdr:row>326</xdr:row>
      <xdr:rowOff>34543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66CD8C49-C36E-466F-9839-669FC9EA61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523502</xdr:colOff>
      <xdr:row>213</xdr:row>
      <xdr:rowOff>87086</xdr:rowOff>
    </xdr:from>
    <xdr:to>
      <xdr:col>11</xdr:col>
      <xdr:colOff>447301</xdr:colOff>
      <xdr:row>229</xdr:row>
      <xdr:rowOff>157843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D125B142-E8C8-47A9-B7C9-C33155C18F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16</xdr:col>
      <xdr:colOff>0</xdr:colOff>
      <xdr:row>191</xdr:row>
      <xdr:rowOff>114299</xdr:rowOff>
    </xdr:from>
    <xdr:to>
      <xdr:col>23</xdr:col>
      <xdr:colOff>302741</xdr:colOff>
      <xdr:row>206</xdr:row>
      <xdr:rowOff>81643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C141703E-F424-417E-B143-A9153174DC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24</xdr:col>
      <xdr:colOff>22796</xdr:colOff>
      <xdr:row>191</xdr:row>
      <xdr:rowOff>0</xdr:rowOff>
    </xdr:from>
    <xdr:to>
      <xdr:col>31</xdr:col>
      <xdr:colOff>307991</xdr:colOff>
      <xdr:row>207</xdr:row>
      <xdr:rowOff>68581</xdr:rowOff>
    </xdr:to>
    <xdr:graphicFrame macro="">
      <xdr:nvGraphicFramePr>
        <xdr:cNvPr id="15" name="Grafico 14">
          <a:extLst>
            <a:ext uri="{FF2B5EF4-FFF2-40B4-BE49-F238E27FC236}">
              <a16:creationId xmlns:a16="http://schemas.microsoft.com/office/drawing/2014/main" id="{B4C17EA2-477A-4857-BC8D-5B4F20167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523502</xdr:colOff>
      <xdr:row>272</xdr:row>
      <xdr:rowOff>87086</xdr:rowOff>
    </xdr:from>
    <xdr:to>
      <xdr:col>11</xdr:col>
      <xdr:colOff>447301</xdr:colOff>
      <xdr:row>288</xdr:row>
      <xdr:rowOff>157843</xdr:rowOff>
    </xdr:to>
    <xdr:graphicFrame macro="">
      <xdr:nvGraphicFramePr>
        <xdr:cNvPr id="19" name="Grafico 18">
          <a:extLst>
            <a:ext uri="{FF2B5EF4-FFF2-40B4-BE49-F238E27FC236}">
              <a16:creationId xmlns:a16="http://schemas.microsoft.com/office/drawing/2014/main" id="{F44C9024-EC70-43B6-9118-2954896839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16</xdr:col>
      <xdr:colOff>0</xdr:colOff>
      <xdr:row>250</xdr:row>
      <xdr:rowOff>114299</xdr:rowOff>
    </xdr:from>
    <xdr:to>
      <xdr:col>23</xdr:col>
      <xdr:colOff>302741</xdr:colOff>
      <xdr:row>265</xdr:row>
      <xdr:rowOff>81643</xdr:rowOff>
    </xdr:to>
    <xdr:graphicFrame macro="">
      <xdr:nvGraphicFramePr>
        <xdr:cNvPr id="20" name="Grafico 19">
          <a:extLst>
            <a:ext uri="{FF2B5EF4-FFF2-40B4-BE49-F238E27FC236}">
              <a16:creationId xmlns:a16="http://schemas.microsoft.com/office/drawing/2014/main" id="{65189461-DEC2-4B39-BED2-7567C21EC1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22796</xdr:colOff>
      <xdr:row>250</xdr:row>
      <xdr:rowOff>0</xdr:rowOff>
    </xdr:from>
    <xdr:to>
      <xdr:col>31</xdr:col>
      <xdr:colOff>307991</xdr:colOff>
      <xdr:row>266</xdr:row>
      <xdr:rowOff>68581</xdr:rowOff>
    </xdr:to>
    <xdr:graphicFrame macro="">
      <xdr:nvGraphicFramePr>
        <xdr:cNvPr id="21" name="Grafico 20">
          <a:extLst>
            <a:ext uri="{FF2B5EF4-FFF2-40B4-BE49-F238E27FC236}">
              <a16:creationId xmlns:a16="http://schemas.microsoft.com/office/drawing/2014/main" id="{097F3949-C4F4-4F7A-A6A6-A4344B739D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15</xdr:col>
      <xdr:colOff>0</xdr:colOff>
      <xdr:row>330</xdr:row>
      <xdr:rowOff>0</xdr:rowOff>
    </xdr:from>
    <xdr:to>
      <xdr:col>22</xdr:col>
      <xdr:colOff>373644</xdr:colOff>
      <xdr:row>345</xdr:row>
      <xdr:rowOff>52003</xdr:rowOff>
    </xdr:to>
    <xdr:graphicFrame macro="">
      <xdr:nvGraphicFramePr>
        <xdr:cNvPr id="22" name="Grafico 21">
          <a:extLst>
            <a:ext uri="{FF2B5EF4-FFF2-40B4-BE49-F238E27FC236}">
              <a16:creationId xmlns:a16="http://schemas.microsoft.com/office/drawing/2014/main" id="{48717D4B-9998-4591-A23C-D69C32E8A0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49</xdr:col>
      <xdr:colOff>120894</xdr:colOff>
      <xdr:row>128</xdr:row>
      <xdr:rowOff>93785</xdr:rowOff>
    </xdr:from>
    <xdr:to>
      <xdr:col>59</xdr:col>
      <xdr:colOff>537148</xdr:colOff>
      <xdr:row>150</xdr:row>
      <xdr:rowOff>24983</xdr:rowOff>
    </xdr:to>
    <xdr:graphicFrame macro="">
      <xdr:nvGraphicFramePr>
        <xdr:cNvPr id="16" name="Grafico 15">
          <a:extLst>
            <a:ext uri="{FF2B5EF4-FFF2-40B4-BE49-F238E27FC236}">
              <a16:creationId xmlns:a16="http://schemas.microsoft.com/office/drawing/2014/main" id="{6A544123-D464-BDE0-0381-8DB88E7BA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39</xdr:col>
      <xdr:colOff>0</xdr:colOff>
      <xdr:row>243</xdr:row>
      <xdr:rowOff>7513</xdr:rowOff>
    </xdr:from>
    <xdr:to>
      <xdr:col>46</xdr:col>
      <xdr:colOff>289775</xdr:colOff>
      <xdr:row>257</xdr:row>
      <xdr:rowOff>174938</xdr:rowOff>
    </xdr:to>
    <xdr:graphicFrame macro="">
      <xdr:nvGraphicFramePr>
        <xdr:cNvPr id="17" name="Grafico 16">
          <a:extLst>
            <a:ext uri="{FF2B5EF4-FFF2-40B4-BE49-F238E27FC236}">
              <a16:creationId xmlns:a16="http://schemas.microsoft.com/office/drawing/2014/main" id="{8350B556-9125-0BB3-CEAE-DB7230A73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79</xdr:col>
      <xdr:colOff>182449</xdr:colOff>
      <xdr:row>5</xdr:row>
      <xdr:rowOff>93372</xdr:rowOff>
    </xdr:from>
    <xdr:to>
      <xdr:col>91</xdr:col>
      <xdr:colOff>75127</xdr:colOff>
      <xdr:row>26</xdr:row>
      <xdr:rowOff>85860</xdr:rowOff>
    </xdr:to>
    <xdr:graphicFrame macro="">
      <xdr:nvGraphicFramePr>
        <xdr:cNvPr id="18" name="Grafico 17">
          <a:extLst>
            <a:ext uri="{FF2B5EF4-FFF2-40B4-BE49-F238E27FC236}">
              <a16:creationId xmlns:a16="http://schemas.microsoft.com/office/drawing/2014/main" id="{5DDBDD32-B76F-F3AA-FC67-F7F887C72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60</xdr:col>
      <xdr:colOff>342900</xdr:colOff>
      <xdr:row>66</xdr:row>
      <xdr:rowOff>57150</xdr:rowOff>
    </xdr:from>
    <xdr:to>
      <xdr:col>72</xdr:col>
      <xdr:colOff>235578</xdr:colOff>
      <xdr:row>87</xdr:row>
      <xdr:rowOff>49638</xdr:rowOff>
    </xdr:to>
    <xdr:graphicFrame macro="">
      <xdr:nvGraphicFramePr>
        <xdr:cNvPr id="23" name="Grafico 22">
          <a:extLst>
            <a:ext uri="{FF2B5EF4-FFF2-40B4-BE49-F238E27FC236}">
              <a16:creationId xmlns:a16="http://schemas.microsoft.com/office/drawing/2014/main" id="{BEB46A2A-3F81-4722-8466-70DFF24323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44</xdr:col>
      <xdr:colOff>263236</xdr:colOff>
      <xdr:row>182</xdr:row>
      <xdr:rowOff>38101</xdr:rowOff>
    </xdr:from>
    <xdr:to>
      <xdr:col>54</xdr:col>
      <xdr:colOff>400050</xdr:colOff>
      <xdr:row>205</xdr:row>
      <xdr:rowOff>98153</xdr:rowOff>
    </xdr:to>
    <xdr:graphicFrame macro="">
      <xdr:nvGraphicFramePr>
        <xdr:cNvPr id="24" name="Grafico 23">
          <a:extLst>
            <a:ext uri="{FF2B5EF4-FFF2-40B4-BE49-F238E27FC236}">
              <a16:creationId xmlns:a16="http://schemas.microsoft.com/office/drawing/2014/main" id="{5E521364-8907-4651-B52F-D203F92458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54430</xdr:colOff>
      <xdr:row>38</xdr:row>
      <xdr:rowOff>163285</xdr:rowOff>
    </xdr:from>
    <xdr:to>
      <xdr:col>6</xdr:col>
      <xdr:colOff>718458</xdr:colOff>
      <xdr:row>54</xdr:row>
      <xdr:rowOff>70756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AB73AB3-0D57-80A3-8433-151BD6293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370113</xdr:colOff>
      <xdr:row>39</xdr:row>
      <xdr:rowOff>27214</xdr:rowOff>
    </xdr:from>
    <xdr:to>
      <xdr:col>22</xdr:col>
      <xdr:colOff>293912</xdr:colOff>
      <xdr:row>55</xdr:row>
      <xdr:rowOff>97971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3E8CDED-2ECC-E93D-2372-14F0A15DE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587828</xdr:colOff>
      <xdr:row>13</xdr:row>
      <xdr:rowOff>179614</xdr:rowOff>
    </xdr:from>
    <xdr:to>
      <xdr:col>35</xdr:col>
      <xdr:colOff>283028</xdr:colOff>
      <xdr:row>28</xdr:row>
      <xdr:rowOff>146957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B0E6D2F6-947A-B022-B15C-C8DE39C00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10887</xdr:colOff>
      <xdr:row>39</xdr:row>
      <xdr:rowOff>32658</xdr:rowOff>
    </xdr:from>
    <xdr:to>
      <xdr:col>12</xdr:col>
      <xdr:colOff>435429</xdr:colOff>
      <xdr:row>54</xdr:row>
      <xdr:rowOff>125186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614F718E-B329-4852-A9A6-B195821B83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587828</xdr:colOff>
      <xdr:row>69</xdr:row>
      <xdr:rowOff>179614</xdr:rowOff>
    </xdr:from>
    <xdr:to>
      <xdr:col>35</xdr:col>
      <xdr:colOff>283028</xdr:colOff>
      <xdr:row>84</xdr:row>
      <xdr:rowOff>146957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282E8DE5-5C2A-4AD9-8FAA-E00EE9B65D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164273</xdr:colOff>
      <xdr:row>95</xdr:row>
      <xdr:rowOff>86590</xdr:rowOff>
    </xdr:from>
    <xdr:to>
      <xdr:col>27</xdr:col>
      <xdr:colOff>88072</xdr:colOff>
      <xdr:row>111</xdr:row>
      <xdr:rowOff>157347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CD47072D-78CB-43D8-AE7A-AE3226E894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21770</xdr:colOff>
      <xdr:row>127</xdr:row>
      <xdr:rowOff>16329</xdr:rowOff>
    </xdr:from>
    <xdr:to>
      <xdr:col>35</xdr:col>
      <xdr:colOff>936170</xdr:colOff>
      <xdr:row>141</xdr:row>
      <xdr:rowOff>168729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73F69B1E-858A-49C4-B31B-E87DC342D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588816</xdr:colOff>
      <xdr:row>151</xdr:row>
      <xdr:rowOff>130133</xdr:rowOff>
    </xdr:from>
    <xdr:to>
      <xdr:col>21</xdr:col>
      <xdr:colOff>512615</xdr:colOff>
      <xdr:row>168</xdr:row>
      <xdr:rowOff>15833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E1DF132C-D25C-40BC-A4D0-E2A906BE9C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35</xdr:col>
      <xdr:colOff>881743</xdr:colOff>
      <xdr:row>12</xdr:row>
      <xdr:rowOff>163286</xdr:rowOff>
    </xdr:from>
    <xdr:to>
      <xdr:col>43</xdr:col>
      <xdr:colOff>380999</xdr:colOff>
      <xdr:row>29</xdr:row>
      <xdr:rowOff>48987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18B5F10A-0D9C-4EF6-B2F5-48571F2E55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35</xdr:col>
      <xdr:colOff>1023257</xdr:colOff>
      <xdr:row>69</xdr:row>
      <xdr:rowOff>10885</xdr:rowOff>
    </xdr:from>
    <xdr:to>
      <xdr:col>43</xdr:col>
      <xdr:colOff>522513</xdr:colOff>
      <xdr:row>85</xdr:row>
      <xdr:rowOff>81643</xdr:rowOff>
    </xdr:to>
    <xdr:graphicFrame macro="">
      <xdr:nvGraphicFramePr>
        <xdr:cNvPr id="15" name="Grafico 14">
          <a:extLst>
            <a:ext uri="{FF2B5EF4-FFF2-40B4-BE49-F238E27FC236}">
              <a16:creationId xmlns:a16="http://schemas.microsoft.com/office/drawing/2014/main" id="{7D23988C-37EA-4315-93B5-9153A8C92E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21770</xdr:colOff>
      <xdr:row>190</xdr:row>
      <xdr:rowOff>16329</xdr:rowOff>
    </xdr:from>
    <xdr:to>
      <xdr:col>35</xdr:col>
      <xdr:colOff>936170</xdr:colOff>
      <xdr:row>204</xdr:row>
      <xdr:rowOff>168729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F23165F2-7787-4793-83E2-18DC0936FB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98959</xdr:colOff>
      <xdr:row>213</xdr:row>
      <xdr:rowOff>141018</xdr:rowOff>
    </xdr:from>
    <xdr:to>
      <xdr:col>22</xdr:col>
      <xdr:colOff>22758</xdr:colOff>
      <xdr:row>230</xdr:row>
      <xdr:rowOff>26718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BFFBD652-F65B-4DA1-807E-AD626E1187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28</xdr:col>
      <xdr:colOff>21770</xdr:colOff>
      <xdr:row>249</xdr:row>
      <xdr:rowOff>16329</xdr:rowOff>
    </xdr:from>
    <xdr:to>
      <xdr:col>35</xdr:col>
      <xdr:colOff>936170</xdr:colOff>
      <xdr:row>263</xdr:row>
      <xdr:rowOff>168729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E77DC6F4-43AD-4846-A21C-EA0069563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588816</xdr:colOff>
      <xdr:row>273</xdr:row>
      <xdr:rowOff>130133</xdr:rowOff>
    </xdr:from>
    <xdr:to>
      <xdr:col>21</xdr:col>
      <xdr:colOff>512615</xdr:colOff>
      <xdr:row>290</xdr:row>
      <xdr:rowOff>15833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F9269D50-CA6B-4971-BED9-76031192C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36</xdr:col>
      <xdr:colOff>478972</xdr:colOff>
      <xdr:row>127</xdr:row>
      <xdr:rowOff>32657</xdr:rowOff>
    </xdr:from>
    <xdr:to>
      <xdr:col>44</xdr:col>
      <xdr:colOff>402771</xdr:colOff>
      <xdr:row>143</xdr:row>
      <xdr:rowOff>103415</xdr:rowOff>
    </xdr:to>
    <xdr:graphicFrame macro="">
      <xdr:nvGraphicFramePr>
        <xdr:cNvPr id="16" name="Grafico 15">
          <a:extLst>
            <a:ext uri="{FF2B5EF4-FFF2-40B4-BE49-F238E27FC236}">
              <a16:creationId xmlns:a16="http://schemas.microsoft.com/office/drawing/2014/main" id="{FAE6A668-83CD-400F-A527-EA4322FF10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37</xdr:col>
      <xdr:colOff>402771</xdr:colOff>
      <xdr:row>189</xdr:row>
      <xdr:rowOff>174171</xdr:rowOff>
    </xdr:from>
    <xdr:to>
      <xdr:col>45</xdr:col>
      <xdr:colOff>326570</xdr:colOff>
      <xdr:row>206</xdr:row>
      <xdr:rowOff>59872</xdr:rowOff>
    </xdr:to>
    <xdr:graphicFrame macro="">
      <xdr:nvGraphicFramePr>
        <xdr:cNvPr id="17" name="Grafico 16">
          <a:extLst>
            <a:ext uri="{FF2B5EF4-FFF2-40B4-BE49-F238E27FC236}">
              <a16:creationId xmlns:a16="http://schemas.microsoft.com/office/drawing/2014/main" id="{AC0A591E-BFA8-459B-B1F5-E55178FD6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</xdr:col>
      <xdr:colOff>10886</xdr:colOff>
      <xdr:row>214</xdr:row>
      <xdr:rowOff>21771</xdr:rowOff>
    </xdr:from>
    <xdr:to>
      <xdr:col>7</xdr:col>
      <xdr:colOff>707571</xdr:colOff>
      <xdr:row>229</xdr:row>
      <xdr:rowOff>114300</xdr:rowOff>
    </xdr:to>
    <xdr:graphicFrame macro="">
      <xdr:nvGraphicFramePr>
        <xdr:cNvPr id="19" name="Grafico 18">
          <a:extLst>
            <a:ext uri="{FF2B5EF4-FFF2-40B4-BE49-F238E27FC236}">
              <a16:creationId xmlns:a16="http://schemas.microsoft.com/office/drawing/2014/main" id="{70D602A1-5C2A-404C-9471-31741CA9E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</xdr:col>
      <xdr:colOff>174172</xdr:colOff>
      <xdr:row>274</xdr:row>
      <xdr:rowOff>54430</xdr:rowOff>
    </xdr:from>
    <xdr:to>
      <xdr:col>8</xdr:col>
      <xdr:colOff>152400</xdr:colOff>
      <xdr:row>289</xdr:row>
      <xdr:rowOff>146958</xdr:rowOff>
    </xdr:to>
    <xdr:graphicFrame macro="">
      <xdr:nvGraphicFramePr>
        <xdr:cNvPr id="20" name="Grafico 19">
          <a:extLst>
            <a:ext uri="{FF2B5EF4-FFF2-40B4-BE49-F238E27FC236}">
              <a16:creationId xmlns:a16="http://schemas.microsoft.com/office/drawing/2014/main" id="{95C0E9E8-2160-4EF8-8198-922EDD8F2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</xdr:col>
      <xdr:colOff>10886</xdr:colOff>
      <xdr:row>152</xdr:row>
      <xdr:rowOff>65314</xdr:rowOff>
    </xdr:from>
    <xdr:to>
      <xdr:col>7</xdr:col>
      <xdr:colOff>707571</xdr:colOff>
      <xdr:row>167</xdr:row>
      <xdr:rowOff>157843</xdr:rowOff>
    </xdr:to>
    <xdr:graphicFrame macro="">
      <xdr:nvGraphicFramePr>
        <xdr:cNvPr id="21" name="Grafico 20">
          <a:extLst>
            <a:ext uri="{FF2B5EF4-FFF2-40B4-BE49-F238E27FC236}">
              <a16:creationId xmlns:a16="http://schemas.microsoft.com/office/drawing/2014/main" id="{A1894711-598D-4C47-8359-FE68173AE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87D85-9C6A-4A01-B508-BA659157BF85}">
  <dimension ref="A1:AK189"/>
  <sheetViews>
    <sheetView topLeftCell="A183" zoomScale="66" zoomScaleNormal="40" workbookViewId="0">
      <selection activeCell="AF38" sqref="AF38"/>
    </sheetView>
  </sheetViews>
  <sheetFormatPr defaultRowHeight="14.4" x14ac:dyDescent="0.3"/>
  <cols>
    <col min="1" max="1" width="9.109375" bestFit="1" customWidth="1"/>
    <col min="2" max="2" width="15.109375" customWidth="1"/>
    <col min="3" max="3" width="11.88671875" customWidth="1"/>
    <col min="4" max="4" width="14.109375" bestFit="1" customWidth="1"/>
    <col min="5" max="5" width="9.109375" bestFit="1" customWidth="1"/>
    <col min="9" max="21" width="9.109375" bestFit="1" customWidth="1"/>
    <col min="23" max="23" width="9" bestFit="1" customWidth="1"/>
    <col min="24" max="24" width="14.109375" bestFit="1" customWidth="1"/>
    <col min="25" max="27" width="9" bestFit="1" customWidth="1"/>
    <col min="30" max="30" width="12.21875" customWidth="1"/>
    <col min="31" max="32" width="9" bestFit="1" customWidth="1"/>
  </cols>
  <sheetData>
    <row r="1" spans="1:32" ht="15" thickBot="1" x14ac:dyDescent="0.35">
      <c r="A1" s="44" t="s">
        <v>5</v>
      </c>
      <c r="B1" s="44" t="s">
        <v>6</v>
      </c>
    </row>
    <row r="2" spans="1:32" x14ac:dyDescent="0.3">
      <c r="A2" s="118" t="s">
        <v>1</v>
      </c>
      <c r="B2" s="119"/>
      <c r="C2" s="119"/>
      <c r="D2" s="119"/>
      <c r="E2" s="119"/>
      <c r="F2" s="120"/>
      <c r="I2" s="27" t="s">
        <v>3</v>
      </c>
      <c r="J2" s="28"/>
      <c r="K2" s="28"/>
      <c r="L2" s="28"/>
      <c r="M2" s="28"/>
      <c r="N2" s="29"/>
      <c r="O2" s="5" t="s">
        <v>12</v>
      </c>
      <c r="P2" s="22"/>
      <c r="Q2" s="22"/>
      <c r="R2" s="22"/>
      <c r="S2" s="22"/>
      <c r="T2" s="22"/>
      <c r="U2" s="6"/>
    </row>
    <row r="3" spans="1:32" x14ac:dyDescent="0.3">
      <c r="A3" s="19" t="s">
        <v>11</v>
      </c>
      <c r="B3" s="2"/>
      <c r="C3" s="1" t="s">
        <v>12</v>
      </c>
      <c r="D3" s="2"/>
      <c r="E3" s="1"/>
      <c r="F3" s="18"/>
      <c r="I3" s="15" t="s">
        <v>4</v>
      </c>
      <c r="J3" s="14" t="s">
        <v>0</v>
      </c>
      <c r="K3" s="14" t="s">
        <v>7</v>
      </c>
      <c r="L3" s="3" t="s">
        <v>8</v>
      </c>
      <c r="M3" s="13" t="s">
        <v>9</v>
      </c>
      <c r="N3" s="69" t="s">
        <v>10</v>
      </c>
      <c r="O3" s="71" t="s">
        <v>4</v>
      </c>
      <c r="P3" s="48" t="s">
        <v>0</v>
      </c>
      <c r="Q3" s="48" t="s">
        <v>7</v>
      </c>
      <c r="R3" s="55" t="s">
        <v>8</v>
      </c>
      <c r="S3" s="13" t="s">
        <v>9</v>
      </c>
      <c r="T3" s="55" t="s">
        <v>10</v>
      </c>
      <c r="U3" s="72" t="s">
        <v>18</v>
      </c>
      <c r="W3" t="s">
        <v>15</v>
      </c>
      <c r="X3">
        <f>SQRT(29)</f>
        <v>5.3851648071345037</v>
      </c>
    </row>
    <row r="4" spans="1:32" ht="15" thickBot="1" x14ac:dyDescent="0.35">
      <c r="A4" s="19">
        <v>11.14</v>
      </c>
      <c r="B4" s="2">
        <v>289</v>
      </c>
      <c r="C4" s="23">
        <v>11.14</v>
      </c>
      <c r="D4" s="24">
        <v>289</v>
      </c>
      <c r="E4" s="1"/>
      <c r="F4" s="18"/>
      <c r="I4" s="20">
        <v>10.016</v>
      </c>
      <c r="J4" s="13">
        <v>365</v>
      </c>
      <c r="K4" s="13">
        <v>251</v>
      </c>
      <c r="L4" s="1">
        <v>247</v>
      </c>
      <c r="M4" s="13">
        <f>(J4-$B4)/$B4</f>
        <v>0.26297577854671278</v>
      </c>
      <c r="N4" s="18">
        <f>(J4-K4)/K4</f>
        <v>0.4541832669322709</v>
      </c>
      <c r="O4" s="49">
        <v>10.016</v>
      </c>
      <c r="P4" s="32">
        <v>365</v>
      </c>
      <c r="Q4" s="32">
        <v>251</v>
      </c>
      <c r="R4" s="33">
        <v>247</v>
      </c>
      <c r="S4" s="32">
        <f>(P4-$B4)/$B4</f>
        <v>0.26297577854671278</v>
      </c>
      <c r="T4" s="45">
        <f>(P4-Q4)/Q4</f>
        <v>0.4541832669322709</v>
      </c>
      <c r="U4" s="50">
        <f>(P4-R4)/R4</f>
        <v>0.47773279352226722</v>
      </c>
      <c r="Y4" t="s">
        <v>16</v>
      </c>
      <c r="Z4" t="s">
        <v>44</v>
      </c>
      <c r="AA4" t="s">
        <v>8</v>
      </c>
    </row>
    <row r="5" spans="1:32" x14ac:dyDescent="0.3">
      <c r="A5" s="7">
        <v>7.2029999999999994</v>
      </c>
      <c r="B5" s="4">
        <v>292</v>
      </c>
      <c r="C5" s="25">
        <v>7.2029999999999994</v>
      </c>
      <c r="D5" s="26">
        <v>292</v>
      </c>
      <c r="E5" s="3"/>
      <c r="F5" s="8"/>
      <c r="I5" s="15">
        <v>10.218999999999999</v>
      </c>
      <c r="J5" s="14">
        <v>341</v>
      </c>
      <c r="K5" s="14">
        <v>265</v>
      </c>
      <c r="L5" s="3">
        <v>233</v>
      </c>
      <c r="M5" s="14">
        <f t="shared" ref="M5:M33" si="0">(J5-$B5)/$B5</f>
        <v>0.1678082191780822</v>
      </c>
      <c r="N5" s="8">
        <f t="shared" ref="N5:N33" si="1">(J5-K5)/K5</f>
        <v>0.28679245283018867</v>
      </c>
      <c r="O5" s="51">
        <v>10.218999999999999</v>
      </c>
      <c r="P5" s="34">
        <v>341</v>
      </c>
      <c r="Q5" s="34">
        <v>265</v>
      </c>
      <c r="R5" s="35">
        <v>233</v>
      </c>
      <c r="S5" s="34">
        <f t="shared" ref="S5:S33" si="2">(P5-$B5)/$B5</f>
        <v>0.1678082191780822</v>
      </c>
      <c r="T5" s="46">
        <f t="shared" ref="T5:T33" si="3">(P5-Q5)/Q5</f>
        <v>0.28679245283018867</v>
      </c>
      <c r="U5" s="52">
        <f t="shared" ref="U5:U33" si="4">(P5-R5)/R5</f>
        <v>0.46351931330472101</v>
      </c>
      <c r="W5" s="5">
        <v>0</v>
      </c>
      <c r="X5" s="22">
        <f t="shared" ref="X5:X10" si="5">W5+0.1</f>
        <v>0.1</v>
      </c>
      <c r="Y5" s="59">
        <f>COUNTIFS($S$4:$S$33,"&lt;"&amp;X5,$S$4:$S$33,"&gt;="&amp;W5)/$Y$12</f>
        <v>0</v>
      </c>
      <c r="Z5" s="56">
        <f>COUNTIFS($T$4:$T$33,"&lt;"&amp;X5,$T$4:$T$33,"&gt;="&amp;W5)/$Y$12</f>
        <v>0</v>
      </c>
      <c r="AA5" s="62">
        <f>COUNTIFS($U$4:$U$33,"&lt;"&amp;X5,$U$4:$U$33,"&gt;="&amp;W5)/$Y$12</f>
        <v>0</v>
      </c>
      <c r="AB5" s="6" t="str">
        <f>_xlfn.CONCAT(TEXT(W5,"0.00"),"-",TEXT(X5,"0.00"))</f>
        <v>0.00-0.10</v>
      </c>
    </row>
    <row r="6" spans="1:32" x14ac:dyDescent="0.3">
      <c r="A6" s="7">
        <v>2.9379999999999988</v>
      </c>
      <c r="B6" s="4">
        <v>296</v>
      </c>
      <c r="C6" s="25">
        <v>2.9379999999999988</v>
      </c>
      <c r="D6" s="26">
        <v>296</v>
      </c>
      <c r="E6" s="3"/>
      <c r="F6" s="8"/>
      <c r="I6" s="15">
        <v>9.39</v>
      </c>
      <c r="J6" s="14">
        <v>399</v>
      </c>
      <c r="K6" s="14">
        <v>256</v>
      </c>
      <c r="L6" s="3">
        <v>246</v>
      </c>
      <c r="M6" s="14">
        <f t="shared" si="0"/>
        <v>0.34797297297297297</v>
      </c>
      <c r="N6" s="8">
        <f t="shared" si="1"/>
        <v>0.55859375</v>
      </c>
      <c r="O6" s="51">
        <v>9.39</v>
      </c>
      <c r="P6" s="34">
        <v>399</v>
      </c>
      <c r="Q6" s="34">
        <v>256</v>
      </c>
      <c r="R6" s="35">
        <v>246</v>
      </c>
      <c r="S6" s="34">
        <f t="shared" si="2"/>
        <v>0.34797297297297297</v>
      </c>
      <c r="T6" s="46">
        <f t="shared" si="3"/>
        <v>0.55859375</v>
      </c>
      <c r="U6" s="52">
        <f t="shared" si="4"/>
        <v>0.62195121951219512</v>
      </c>
      <c r="W6" s="7">
        <f t="shared" ref="W6:W11" si="6">X5</f>
        <v>0.1</v>
      </c>
      <c r="X6">
        <f t="shared" si="5"/>
        <v>0.2</v>
      </c>
      <c r="Y6" s="60">
        <f t="shared" ref="Y6:Y11" si="7">COUNTIFS($S$4:$S$33,"&lt;"&amp;X6,$S$4:$S$33,"&gt;="&amp;W6)/$Y$12</f>
        <v>0.32142857142857145</v>
      </c>
      <c r="Z6" s="57">
        <f t="shared" ref="Z6:Z11" si="8">COUNTIFS($T$4:$T$33,"&lt;"&amp;X6,$T$4:$T$33,"&gt;="&amp;W6)/$Y$12</f>
        <v>0</v>
      </c>
      <c r="AA6" s="63">
        <f t="shared" ref="AA6:AA11" si="9">COUNTIFS($U$4:$U$33,"&lt;"&amp;X6,$U$4:$U$33,"&gt;="&amp;W6)/$Y$12</f>
        <v>0</v>
      </c>
      <c r="AB6" s="8" t="str">
        <f t="shared" ref="AB6:AB11" si="10">_xlfn.CONCAT(TEXT(W6,"0.00"),"-",TEXT(X6,"0.00"))</f>
        <v>0.10-0.20</v>
      </c>
    </row>
    <row r="7" spans="1:32" x14ac:dyDescent="0.3">
      <c r="A7" s="7">
        <v>1.9370000000000012</v>
      </c>
      <c r="B7" s="4">
        <v>284</v>
      </c>
      <c r="C7" s="25">
        <v>1.9370000000000012</v>
      </c>
      <c r="D7" s="26">
        <v>284</v>
      </c>
      <c r="E7" s="3"/>
      <c r="F7" s="8"/>
      <c r="I7" s="15">
        <v>9.2349999999999994</v>
      </c>
      <c r="J7" s="14">
        <v>381</v>
      </c>
      <c r="K7" s="14">
        <v>248</v>
      </c>
      <c r="L7" s="3">
        <v>243</v>
      </c>
      <c r="M7" s="14">
        <f t="shared" si="0"/>
        <v>0.34154929577464788</v>
      </c>
      <c r="N7" s="8">
        <f t="shared" si="1"/>
        <v>0.53629032258064513</v>
      </c>
      <c r="O7" s="51">
        <v>9.2349999999999994</v>
      </c>
      <c r="P7" s="34">
        <v>381</v>
      </c>
      <c r="Q7" s="34">
        <v>248</v>
      </c>
      <c r="R7" s="35">
        <v>243</v>
      </c>
      <c r="S7" s="34">
        <f t="shared" si="2"/>
        <v>0.34154929577464788</v>
      </c>
      <c r="T7" s="46">
        <f t="shared" si="3"/>
        <v>0.53629032258064513</v>
      </c>
      <c r="U7" s="52">
        <f t="shared" si="4"/>
        <v>0.5679012345679012</v>
      </c>
      <c r="W7" s="7">
        <f t="shared" si="6"/>
        <v>0.2</v>
      </c>
      <c r="X7">
        <f t="shared" si="5"/>
        <v>0.30000000000000004</v>
      </c>
      <c r="Y7" s="60">
        <f t="shared" si="7"/>
        <v>0.5</v>
      </c>
      <c r="Z7" s="57">
        <f t="shared" si="8"/>
        <v>0.2857142857142857</v>
      </c>
      <c r="AA7" s="63">
        <f t="shared" si="9"/>
        <v>0</v>
      </c>
      <c r="AB7" s="8" t="str">
        <f t="shared" si="10"/>
        <v>0.20-0.30</v>
      </c>
    </row>
    <row r="8" spans="1:32" x14ac:dyDescent="0.3">
      <c r="A8" s="7">
        <v>25.077999999999999</v>
      </c>
      <c r="B8" s="4">
        <v>309</v>
      </c>
      <c r="C8" s="25">
        <v>25.077999999999999</v>
      </c>
      <c r="D8" s="26">
        <v>309</v>
      </c>
      <c r="E8" s="3"/>
      <c r="F8" s="8"/>
      <c r="I8" s="15">
        <v>11.905999999999999</v>
      </c>
      <c r="J8" s="14">
        <v>408</v>
      </c>
      <c r="K8" s="14">
        <v>278</v>
      </c>
      <c r="L8" s="3">
        <v>227</v>
      </c>
      <c r="M8" s="14">
        <f t="shared" si="0"/>
        <v>0.32038834951456313</v>
      </c>
      <c r="N8" s="8">
        <f t="shared" si="1"/>
        <v>0.46762589928057552</v>
      </c>
      <c r="O8" s="51">
        <v>11.905999999999999</v>
      </c>
      <c r="P8" s="34">
        <v>408</v>
      </c>
      <c r="Q8" s="34">
        <v>278</v>
      </c>
      <c r="R8" s="35">
        <v>227</v>
      </c>
      <c r="S8" s="34">
        <f t="shared" si="2"/>
        <v>0.32038834951456313</v>
      </c>
      <c r="T8" s="46">
        <f t="shared" si="3"/>
        <v>0.46762589928057552</v>
      </c>
      <c r="U8" s="52">
        <f t="shared" si="4"/>
        <v>0.79735682819383258</v>
      </c>
      <c r="W8" s="7">
        <f t="shared" si="6"/>
        <v>0.30000000000000004</v>
      </c>
      <c r="X8">
        <f t="shared" si="5"/>
        <v>0.4</v>
      </c>
      <c r="Y8" s="60">
        <f t="shared" si="7"/>
        <v>0.10714285714285714</v>
      </c>
      <c r="Z8" s="57">
        <f t="shared" si="8"/>
        <v>0.39285714285714285</v>
      </c>
      <c r="AA8" s="63">
        <f t="shared" si="9"/>
        <v>0.10714285714285714</v>
      </c>
      <c r="AB8" s="8" t="str">
        <f t="shared" si="10"/>
        <v>0.30-0.40</v>
      </c>
      <c r="AD8">
        <f>AVERAGE(S4:S33)</f>
        <v>0.24354091820449245</v>
      </c>
      <c r="AE8">
        <f>AVERAGE(T4:T33)</f>
        <v>0.36639738467618554</v>
      </c>
      <c r="AF8">
        <f>AVERAGE(U4:U33)</f>
        <v>0.52874865068341148</v>
      </c>
    </row>
    <row r="9" spans="1:32" x14ac:dyDescent="0.3">
      <c r="A9" s="7">
        <v>19.687999999999995</v>
      </c>
      <c r="B9" s="4">
        <v>284</v>
      </c>
      <c r="C9" s="25">
        <v>19.687999999999995</v>
      </c>
      <c r="D9" s="26">
        <v>284</v>
      </c>
      <c r="E9" s="3"/>
      <c r="F9" s="8"/>
      <c r="I9" s="15">
        <v>11.390999999999998</v>
      </c>
      <c r="J9" s="14">
        <v>337</v>
      </c>
      <c r="K9" s="14">
        <v>269</v>
      </c>
      <c r="L9" s="3">
        <v>227</v>
      </c>
      <c r="M9" s="14">
        <f t="shared" si="0"/>
        <v>0.18661971830985916</v>
      </c>
      <c r="N9" s="8">
        <f t="shared" si="1"/>
        <v>0.25278810408921931</v>
      </c>
      <c r="O9" s="51">
        <v>11.390999999999998</v>
      </c>
      <c r="P9" s="34">
        <v>337</v>
      </c>
      <c r="Q9" s="34">
        <v>269</v>
      </c>
      <c r="R9" s="35">
        <v>227</v>
      </c>
      <c r="S9" s="34">
        <f t="shared" si="2"/>
        <v>0.18661971830985916</v>
      </c>
      <c r="T9" s="46">
        <f t="shared" si="3"/>
        <v>0.25278810408921931</v>
      </c>
      <c r="U9" s="52">
        <f t="shared" si="4"/>
        <v>0.48458149779735682</v>
      </c>
      <c r="W9" s="7">
        <f t="shared" si="6"/>
        <v>0.4</v>
      </c>
      <c r="X9">
        <f t="shared" si="5"/>
        <v>0.5</v>
      </c>
      <c r="Y9" s="60">
        <f t="shared" si="7"/>
        <v>7.1428571428571425E-2</v>
      </c>
      <c r="Z9" s="57">
        <f t="shared" si="8"/>
        <v>0.21428571428571427</v>
      </c>
      <c r="AA9" s="63">
        <f t="shared" si="9"/>
        <v>0.39285714285714285</v>
      </c>
      <c r="AB9" s="8" t="str">
        <f t="shared" si="10"/>
        <v>0.40-0.50</v>
      </c>
    </row>
    <row r="10" spans="1:32" x14ac:dyDescent="0.3">
      <c r="A10" s="7">
        <v>7.1720000000000113</v>
      </c>
      <c r="B10" s="4">
        <v>260</v>
      </c>
      <c r="C10" s="25">
        <v>7.1720000000000113</v>
      </c>
      <c r="D10" s="26">
        <v>260</v>
      </c>
      <c r="E10" s="3"/>
      <c r="F10" s="8"/>
      <c r="I10" s="15">
        <v>11.234000000000009</v>
      </c>
      <c r="J10" s="14">
        <v>301</v>
      </c>
      <c r="K10" s="14">
        <v>249</v>
      </c>
      <c r="L10" s="3">
        <v>219</v>
      </c>
      <c r="M10" s="14">
        <f t="shared" si="0"/>
        <v>0.15769230769230769</v>
      </c>
      <c r="N10" s="8">
        <f t="shared" si="1"/>
        <v>0.20883534136546184</v>
      </c>
      <c r="O10" s="51">
        <v>11.234000000000009</v>
      </c>
      <c r="P10" s="34">
        <v>301</v>
      </c>
      <c r="Q10" s="34">
        <v>249</v>
      </c>
      <c r="R10" s="35">
        <v>219</v>
      </c>
      <c r="S10" s="34">
        <f t="shared" si="2"/>
        <v>0.15769230769230769</v>
      </c>
      <c r="T10" s="46">
        <f t="shared" si="3"/>
        <v>0.20883534136546184</v>
      </c>
      <c r="U10" s="52">
        <f t="shared" si="4"/>
        <v>0.37442922374429222</v>
      </c>
      <c r="W10" s="7">
        <f t="shared" si="6"/>
        <v>0.5</v>
      </c>
      <c r="X10">
        <f t="shared" si="5"/>
        <v>0.6</v>
      </c>
      <c r="Y10" s="60">
        <f t="shared" si="7"/>
        <v>0</v>
      </c>
      <c r="Z10" s="57">
        <f t="shared" si="8"/>
        <v>0.10714285714285714</v>
      </c>
      <c r="AA10" s="63">
        <f t="shared" si="9"/>
        <v>0.35714285714285715</v>
      </c>
      <c r="AB10" s="8" t="str">
        <f t="shared" si="10"/>
        <v>0.50-0.60</v>
      </c>
    </row>
    <row r="11" spans="1:32" ht="15" thickBot="1" x14ac:dyDescent="0.35">
      <c r="A11" s="7">
        <v>9.7339999999999947</v>
      </c>
      <c r="B11" s="4">
        <v>294</v>
      </c>
      <c r="C11" s="25">
        <v>9.7339999999999947</v>
      </c>
      <c r="D11" s="26">
        <v>294</v>
      </c>
      <c r="E11" s="3"/>
      <c r="F11" s="8"/>
      <c r="I11" s="15">
        <v>10.796999999999997</v>
      </c>
      <c r="J11" s="14">
        <v>378</v>
      </c>
      <c r="K11" s="14">
        <v>263</v>
      </c>
      <c r="L11" s="3">
        <v>251</v>
      </c>
      <c r="M11" s="14">
        <f t="shared" si="0"/>
        <v>0.2857142857142857</v>
      </c>
      <c r="N11" s="8">
        <f t="shared" si="1"/>
        <v>0.43726235741444869</v>
      </c>
      <c r="O11" s="51">
        <v>10.796999999999997</v>
      </c>
      <c r="P11" s="34">
        <v>378</v>
      </c>
      <c r="Q11" s="34">
        <v>263</v>
      </c>
      <c r="R11" s="35">
        <v>251</v>
      </c>
      <c r="S11" s="34">
        <f t="shared" si="2"/>
        <v>0.2857142857142857</v>
      </c>
      <c r="T11" s="46">
        <f t="shared" si="3"/>
        <v>0.43726235741444869</v>
      </c>
      <c r="U11" s="52">
        <f t="shared" si="4"/>
        <v>0.50597609561752988</v>
      </c>
      <c r="W11" s="9">
        <f t="shared" si="6"/>
        <v>0.6</v>
      </c>
      <c r="X11" s="38">
        <f>1</f>
        <v>1</v>
      </c>
      <c r="Y11" s="61">
        <f t="shared" si="7"/>
        <v>0</v>
      </c>
      <c r="Z11" s="58">
        <f t="shared" si="8"/>
        <v>0</v>
      </c>
      <c r="AA11" s="64">
        <f t="shared" si="9"/>
        <v>0.14285714285714285</v>
      </c>
      <c r="AB11" s="12" t="str">
        <f t="shared" si="10"/>
        <v>0.60-1.00</v>
      </c>
    </row>
    <row r="12" spans="1:32" x14ac:dyDescent="0.3">
      <c r="A12" s="7">
        <v>10.203000000000003</v>
      </c>
      <c r="B12" s="4">
        <v>279</v>
      </c>
      <c r="C12" s="25">
        <v>10.203000000000003</v>
      </c>
      <c r="D12" s="26">
        <v>279</v>
      </c>
      <c r="E12" s="3"/>
      <c r="F12" s="8"/>
      <c r="I12" s="15">
        <v>10.390999999999991</v>
      </c>
      <c r="J12" s="14">
        <v>338</v>
      </c>
      <c r="K12" s="14">
        <v>253</v>
      </c>
      <c r="L12" s="3">
        <v>243</v>
      </c>
      <c r="M12" s="14">
        <f t="shared" si="0"/>
        <v>0.21146953405017921</v>
      </c>
      <c r="N12" s="8">
        <f t="shared" si="1"/>
        <v>0.33596837944664032</v>
      </c>
      <c r="O12" s="51">
        <v>10.390999999999991</v>
      </c>
      <c r="P12" s="34">
        <v>338</v>
      </c>
      <c r="Q12" s="34">
        <v>253</v>
      </c>
      <c r="R12" s="35">
        <v>243</v>
      </c>
      <c r="S12" s="34">
        <f t="shared" si="2"/>
        <v>0.21146953405017921</v>
      </c>
      <c r="T12" s="46">
        <f t="shared" si="3"/>
        <v>0.33596837944664032</v>
      </c>
      <c r="U12" s="52">
        <f t="shared" si="4"/>
        <v>0.39094650205761317</v>
      </c>
      <c r="Y12">
        <v>28</v>
      </c>
      <c r="Z12">
        <v>28</v>
      </c>
    </row>
    <row r="13" spans="1:32" x14ac:dyDescent="0.3">
      <c r="A13" s="7">
        <v>3.3439999999999941</v>
      </c>
      <c r="B13" s="4">
        <v>281</v>
      </c>
      <c r="C13" s="25">
        <v>3.3439999999999941</v>
      </c>
      <c r="D13" s="26">
        <v>281</v>
      </c>
      <c r="E13" s="3"/>
      <c r="F13" s="8"/>
      <c r="I13" s="15">
        <v>11.625</v>
      </c>
      <c r="J13" s="14">
        <v>350</v>
      </c>
      <c r="K13" s="14">
        <v>251</v>
      </c>
      <c r="L13" s="3">
        <v>224</v>
      </c>
      <c r="M13" s="14">
        <f t="shared" si="0"/>
        <v>0.24555160142348753</v>
      </c>
      <c r="N13" s="8">
        <f t="shared" si="1"/>
        <v>0.39442231075697209</v>
      </c>
      <c r="O13" s="51">
        <v>11.625</v>
      </c>
      <c r="P13" s="34">
        <v>350</v>
      </c>
      <c r="Q13" s="34">
        <v>251</v>
      </c>
      <c r="R13" s="35">
        <v>224</v>
      </c>
      <c r="S13" s="34">
        <f t="shared" si="2"/>
        <v>0.24555160142348753</v>
      </c>
      <c r="T13" s="46">
        <f t="shared" si="3"/>
        <v>0.39442231075697209</v>
      </c>
      <c r="U13" s="52">
        <f t="shared" si="4"/>
        <v>0.5625</v>
      </c>
      <c r="Y13">
        <f>SUM(Y5:Y11)</f>
        <v>0.99999999999999989</v>
      </c>
      <c r="Z13">
        <f>SUM(Z5:Z11)</f>
        <v>1</v>
      </c>
      <c r="AA13">
        <f>SUM(AA5:AA11)</f>
        <v>1</v>
      </c>
    </row>
    <row r="14" spans="1:32" x14ac:dyDescent="0.3">
      <c r="A14" s="7">
        <v>16.906000000000006</v>
      </c>
      <c r="B14" s="4">
        <v>281</v>
      </c>
      <c r="C14" s="25">
        <v>16.906000000000006</v>
      </c>
      <c r="D14" s="26">
        <v>281</v>
      </c>
      <c r="E14" s="3"/>
      <c r="F14" s="8"/>
      <c r="I14" s="15">
        <v>11.203000000000003</v>
      </c>
      <c r="J14" s="14">
        <v>338</v>
      </c>
      <c r="K14" s="14">
        <v>253</v>
      </c>
      <c r="L14" s="3">
        <v>253</v>
      </c>
      <c r="M14" s="14">
        <f t="shared" si="0"/>
        <v>0.20284697508896798</v>
      </c>
      <c r="N14" s="8">
        <f t="shared" si="1"/>
        <v>0.33596837944664032</v>
      </c>
      <c r="O14" s="51">
        <v>11.203000000000003</v>
      </c>
      <c r="P14" s="34">
        <v>338</v>
      </c>
      <c r="Q14" s="34">
        <v>253</v>
      </c>
      <c r="R14" s="35">
        <v>253</v>
      </c>
      <c r="S14" s="34">
        <f t="shared" si="2"/>
        <v>0.20284697508896798</v>
      </c>
      <c r="T14" s="46">
        <f t="shared" si="3"/>
        <v>0.33596837944664032</v>
      </c>
      <c r="U14" s="52">
        <f t="shared" si="4"/>
        <v>0.33596837944664032</v>
      </c>
    </row>
    <row r="15" spans="1:32" x14ac:dyDescent="0.3">
      <c r="A15" s="7">
        <v>9.453000000000003</v>
      </c>
      <c r="B15" s="4">
        <v>292</v>
      </c>
      <c r="C15" s="25">
        <v>9.453000000000003</v>
      </c>
      <c r="D15" s="26">
        <v>292</v>
      </c>
      <c r="E15" s="3"/>
      <c r="F15" s="8"/>
      <c r="I15" s="15">
        <v>10.421999999999997</v>
      </c>
      <c r="J15" s="14">
        <v>360</v>
      </c>
      <c r="K15" s="14">
        <v>251</v>
      </c>
      <c r="L15" s="3">
        <v>228</v>
      </c>
      <c r="M15" s="14">
        <f t="shared" si="0"/>
        <v>0.23287671232876711</v>
      </c>
      <c r="N15" s="8">
        <f t="shared" si="1"/>
        <v>0.43426294820717132</v>
      </c>
      <c r="O15" s="51">
        <v>10.421999999999997</v>
      </c>
      <c r="P15" s="34">
        <v>360</v>
      </c>
      <c r="Q15" s="34">
        <v>251</v>
      </c>
      <c r="R15" s="35">
        <v>228</v>
      </c>
      <c r="S15" s="34">
        <f t="shared" si="2"/>
        <v>0.23287671232876711</v>
      </c>
      <c r="T15" s="46">
        <f t="shared" si="3"/>
        <v>0.43426294820717132</v>
      </c>
      <c r="U15" s="52">
        <f t="shared" si="4"/>
        <v>0.57894736842105265</v>
      </c>
    </row>
    <row r="16" spans="1:32" x14ac:dyDescent="0.3">
      <c r="A16" s="7">
        <v>6.2819999999999965</v>
      </c>
      <c r="B16" s="4">
        <v>275</v>
      </c>
      <c r="C16" s="25">
        <v>6.2819999999999965</v>
      </c>
      <c r="D16" s="26">
        <v>275</v>
      </c>
      <c r="E16" s="3"/>
      <c r="F16" s="8"/>
      <c r="I16" s="15">
        <v>10.78100000000002</v>
      </c>
      <c r="J16" s="14">
        <v>324</v>
      </c>
      <c r="K16" s="14">
        <v>255</v>
      </c>
      <c r="L16" s="3">
        <v>217</v>
      </c>
      <c r="M16" s="14">
        <f t="shared" si="0"/>
        <v>0.17818181818181819</v>
      </c>
      <c r="N16" s="8">
        <f t="shared" si="1"/>
        <v>0.27058823529411763</v>
      </c>
      <c r="O16" s="51">
        <v>10.78100000000002</v>
      </c>
      <c r="P16" s="34">
        <v>324</v>
      </c>
      <c r="Q16" s="34">
        <v>255</v>
      </c>
      <c r="R16" s="35">
        <v>217</v>
      </c>
      <c r="S16" s="34">
        <f t="shared" si="2"/>
        <v>0.17818181818181819</v>
      </c>
      <c r="T16" s="46">
        <f t="shared" si="3"/>
        <v>0.27058823529411763</v>
      </c>
      <c r="U16" s="52">
        <f t="shared" si="4"/>
        <v>0.49308755760368661</v>
      </c>
    </row>
    <row r="17" spans="1:21" x14ac:dyDescent="0.3">
      <c r="A17" s="7">
        <v>35.703000000000003</v>
      </c>
      <c r="B17" s="4">
        <v>288</v>
      </c>
      <c r="C17" s="25">
        <v>35.703000000000003</v>
      </c>
      <c r="D17" s="26">
        <v>288</v>
      </c>
      <c r="E17" s="3"/>
      <c r="F17" s="8"/>
      <c r="I17" s="15">
        <v>11.061999999999983</v>
      </c>
      <c r="J17" s="14">
        <v>358</v>
      </c>
      <c r="K17" s="14">
        <v>253</v>
      </c>
      <c r="L17" s="3">
        <v>225</v>
      </c>
      <c r="M17" s="14">
        <f t="shared" si="0"/>
        <v>0.24305555555555555</v>
      </c>
      <c r="N17" s="8">
        <f t="shared" si="1"/>
        <v>0.41501976284584979</v>
      </c>
      <c r="O17" s="51">
        <v>11.061999999999983</v>
      </c>
      <c r="P17" s="34">
        <v>358</v>
      </c>
      <c r="Q17" s="34">
        <v>253</v>
      </c>
      <c r="R17" s="35">
        <v>225</v>
      </c>
      <c r="S17" s="34">
        <f t="shared" si="2"/>
        <v>0.24305555555555555</v>
      </c>
      <c r="T17" s="46">
        <f t="shared" si="3"/>
        <v>0.41501976284584979</v>
      </c>
      <c r="U17" s="52">
        <f t="shared" si="4"/>
        <v>0.59111111111111114</v>
      </c>
    </row>
    <row r="18" spans="1:21" x14ac:dyDescent="0.3">
      <c r="A18" s="7">
        <v>11.764999999999986</v>
      </c>
      <c r="B18" s="4">
        <v>294</v>
      </c>
      <c r="C18" s="25">
        <v>11.764999999999986</v>
      </c>
      <c r="D18" s="26">
        <v>294</v>
      </c>
      <c r="E18" s="3"/>
      <c r="F18" s="8"/>
      <c r="I18" s="15">
        <v>10.735000000000014</v>
      </c>
      <c r="J18" s="14">
        <v>345</v>
      </c>
      <c r="K18" s="14">
        <v>269</v>
      </c>
      <c r="L18" s="3">
        <v>245</v>
      </c>
      <c r="M18" s="14">
        <f t="shared" si="0"/>
        <v>0.17346938775510204</v>
      </c>
      <c r="N18" s="8">
        <f t="shared" si="1"/>
        <v>0.28252788104089221</v>
      </c>
      <c r="O18" s="51">
        <v>10.735000000000014</v>
      </c>
      <c r="P18" s="34">
        <v>345</v>
      </c>
      <c r="Q18" s="34">
        <v>269</v>
      </c>
      <c r="R18" s="35">
        <v>245</v>
      </c>
      <c r="S18" s="34">
        <f t="shared" si="2"/>
        <v>0.17346938775510204</v>
      </c>
      <c r="T18" s="46">
        <f t="shared" si="3"/>
        <v>0.28252788104089221</v>
      </c>
      <c r="U18" s="52">
        <f t="shared" si="4"/>
        <v>0.40816326530612246</v>
      </c>
    </row>
    <row r="19" spans="1:21" x14ac:dyDescent="0.3">
      <c r="A19" s="7">
        <v>7.5790000000000077</v>
      </c>
      <c r="B19" s="4">
        <v>295</v>
      </c>
      <c r="C19" s="25">
        <v>7.5790000000000077</v>
      </c>
      <c r="D19" s="26">
        <v>295</v>
      </c>
      <c r="E19" s="3"/>
      <c r="F19" s="8"/>
      <c r="I19" s="15">
        <v>11.217999999999989</v>
      </c>
      <c r="J19" s="14">
        <v>363</v>
      </c>
      <c r="K19" s="14">
        <v>281</v>
      </c>
      <c r="L19" s="3">
        <v>238</v>
      </c>
      <c r="M19" s="14">
        <f t="shared" si="0"/>
        <v>0.23050847457627119</v>
      </c>
      <c r="N19" s="8">
        <f t="shared" si="1"/>
        <v>0.29181494661921709</v>
      </c>
      <c r="O19" s="51">
        <v>11.217999999999989</v>
      </c>
      <c r="P19" s="34">
        <v>363</v>
      </c>
      <c r="Q19" s="34">
        <v>281</v>
      </c>
      <c r="R19" s="35">
        <v>238</v>
      </c>
      <c r="S19" s="34">
        <f t="shared" si="2"/>
        <v>0.23050847457627119</v>
      </c>
      <c r="T19" s="46">
        <f t="shared" si="3"/>
        <v>0.29181494661921709</v>
      </c>
      <c r="U19" s="52">
        <f t="shared" si="4"/>
        <v>0.52521008403361347</v>
      </c>
    </row>
    <row r="20" spans="1:21" x14ac:dyDescent="0.3">
      <c r="A20" s="7">
        <v>7.1709999999999923</v>
      </c>
      <c r="B20" s="4">
        <v>298</v>
      </c>
      <c r="C20" s="25">
        <v>7.1709999999999923</v>
      </c>
      <c r="D20" s="26">
        <v>298</v>
      </c>
      <c r="E20" s="3"/>
      <c r="F20" s="8"/>
      <c r="I20" s="15">
        <v>11.140999999999991</v>
      </c>
      <c r="J20" s="14">
        <v>420</v>
      </c>
      <c r="K20" s="14">
        <v>264</v>
      </c>
      <c r="L20" s="3">
        <v>224</v>
      </c>
      <c r="M20" s="14">
        <f t="shared" si="0"/>
        <v>0.40939597315436244</v>
      </c>
      <c r="N20" s="8">
        <f t="shared" si="1"/>
        <v>0.59090909090909094</v>
      </c>
      <c r="O20" s="51">
        <v>11.140999999999991</v>
      </c>
      <c r="P20" s="34">
        <v>420</v>
      </c>
      <c r="Q20" s="34">
        <v>264</v>
      </c>
      <c r="R20" s="35">
        <v>224</v>
      </c>
      <c r="S20" s="34">
        <f t="shared" si="2"/>
        <v>0.40939597315436244</v>
      </c>
      <c r="T20" s="46">
        <f t="shared" si="3"/>
        <v>0.59090909090909094</v>
      </c>
      <c r="U20" s="52">
        <f t="shared" si="4"/>
        <v>0.875</v>
      </c>
    </row>
    <row r="21" spans="1:21" x14ac:dyDescent="0.3">
      <c r="A21" s="7">
        <v>4.625</v>
      </c>
      <c r="B21" s="4">
        <v>295</v>
      </c>
      <c r="C21" s="25">
        <v>4.625</v>
      </c>
      <c r="D21" s="26">
        <v>295</v>
      </c>
      <c r="E21" s="3"/>
      <c r="F21" s="8"/>
      <c r="I21" s="15">
        <v>10.859000000000009</v>
      </c>
      <c r="J21" s="14">
        <v>374</v>
      </c>
      <c r="K21" s="14">
        <v>279</v>
      </c>
      <c r="L21" s="3">
        <v>243</v>
      </c>
      <c r="M21" s="14">
        <f t="shared" si="0"/>
        <v>0.26779661016949152</v>
      </c>
      <c r="N21" s="8">
        <f t="shared" si="1"/>
        <v>0.34050179211469533</v>
      </c>
      <c r="O21" s="51">
        <v>10.859000000000009</v>
      </c>
      <c r="P21" s="34">
        <v>374</v>
      </c>
      <c r="Q21" s="34">
        <v>279</v>
      </c>
      <c r="R21" s="35">
        <v>243</v>
      </c>
      <c r="S21" s="34">
        <f t="shared" si="2"/>
        <v>0.26779661016949152</v>
      </c>
      <c r="T21" s="46">
        <f t="shared" si="3"/>
        <v>0.34050179211469533</v>
      </c>
      <c r="U21" s="52">
        <f t="shared" si="4"/>
        <v>0.53909465020576131</v>
      </c>
    </row>
    <row r="22" spans="1:21" x14ac:dyDescent="0.3">
      <c r="A22" s="7">
        <v>29.485000000000014</v>
      </c>
      <c r="B22" s="4">
        <v>281</v>
      </c>
      <c r="C22" s="25">
        <v>29.485000000000014</v>
      </c>
      <c r="D22" s="26">
        <v>281</v>
      </c>
      <c r="E22" s="3"/>
      <c r="F22" s="8"/>
      <c r="I22" s="15">
        <v>12.546999999999997</v>
      </c>
      <c r="J22" s="14">
        <v>335</v>
      </c>
      <c r="K22" s="14">
        <v>244</v>
      </c>
      <c r="L22" s="3">
        <v>223</v>
      </c>
      <c r="M22" s="14">
        <f t="shared" si="0"/>
        <v>0.19217081850533807</v>
      </c>
      <c r="N22" s="8">
        <f t="shared" si="1"/>
        <v>0.37295081967213117</v>
      </c>
      <c r="O22" s="51">
        <v>12.546999999999997</v>
      </c>
      <c r="P22" s="34">
        <v>335</v>
      </c>
      <c r="Q22" s="34">
        <v>244</v>
      </c>
      <c r="R22" s="35">
        <v>223</v>
      </c>
      <c r="S22" s="34">
        <f t="shared" si="2"/>
        <v>0.19217081850533807</v>
      </c>
      <c r="T22" s="46">
        <f t="shared" si="3"/>
        <v>0.37295081967213117</v>
      </c>
      <c r="U22" s="52">
        <f t="shared" si="4"/>
        <v>0.50224215246636772</v>
      </c>
    </row>
    <row r="23" spans="1:21" x14ac:dyDescent="0.3">
      <c r="A23" s="7">
        <v>5.875</v>
      </c>
      <c r="B23" s="4">
        <v>252</v>
      </c>
      <c r="C23" s="25"/>
      <c r="D23" s="26"/>
      <c r="E23" s="3"/>
      <c r="F23" s="8"/>
      <c r="I23" s="41">
        <v>322.95299999999997</v>
      </c>
      <c r="J23" s="42">
        <v>331</v>
      </c>
      <c r="K23" s="42">
        <v>223</v>
      </c>
      <c r="L23" s="43">
        <v>223</v>
      </c>
      <c r="M23" s="42">
        <f t="shared" si="0"/>
        <v>0.31349206349206349</v>
      </c>
      <c r="N23" s="70">
        <f t="shared" si="1"/>
        <v>0.48430493273542602</v>
      </c>
      <c r="O23" s="51"/>
      <c r="P23" s="34"/>
      <c r="Q23" s="34"/>
      <c r="R23" s="35"/>
      <c r="S23" s="34"/>
      <c r="T23" s="46"/>
      <c r="U23" s="52"/>
    </row>
    <row r="24" spans="1:21" x14ac:dyDescent="0.3">
      <c r="A24" s="7">
        <v>11.686999999999983</v>
      </c>
      <c r="B24" s="4">
        <v>309</v>
      </c>
      <c r="C24" s="25">
        <v>11.686999999999983</v>
      </c>
      <c r="D24" s="26">
        <v>309</v>
      </c>
      <c r="E24" s="3"/>
      <c r="F24" s="8"/>
      <c r="I24" s="15">
        <v>9.3129999999999882</v>
      </c>
      <c r="J24" s="14">
        <v>394</v>
      </c>
      <c r="K24" s="14">
        <v>306</v>
      </c>
      <c r="L24" s="3">
        <v>248</v>
      </c>
      <c r="M24" s="14">
        <f t="shared" si="0"/>
        <v>0.27508090614886732</v>
      </c>
      <c r="N24" s="8">
        <f t="shared" si="1"/>
        <v>0.28758169934640521</v>
      </c>
      <c r="O24" s="51">
        <v>9.3129999999999882</v>
      </c>
      <c r="P24" s="34">
        <v>394</v>
      </c>
      <c r="Q24" s="34">
        <v>306</v>
      </c>
      <c r="R24" s="35">
        <v>248</v>
      </c>
      <c r="S24" s="34">
        <f t="shared" si="2"/>
        <v>0.27508090614886732</v>
      </c>
      <c r="T24" s="46">
        <f t="shared" si="3"/>
        <v>0.28758169934640521</v>
      </c>
      <c r="U24" s="52">
        <f t="shared" si="4"/>
        <v>0.58870967741935487</v>
      </c>
    </row>
    <row r="25" spans="1:21" x14ac:dyDescent="0.3">
      <c r="A25" s="7">
        <v>17.063000000000017</v>
      </c>
      <c r="B25" s="4">
        <v>304</v>
      </c>
      <c r="C25" s="25">
        <v>17.063000000000017</v>
      </c>
      <c r="D25" s="26">
        <v>304</v>
      </c>
      <c r="E25" s="3"/>
      <c r="F25" s="8"/>
      <c r="I25" s="15">
        <v>8.6560000000000628</v>
      </c>
      <c r="J25" s="14">
        <v>389</v>
      </c>
      <c r="K25" s="14">
        <v>288</v>
      </c>
      <c r="L25" s="3">
        <v>247</v>
      </c>
      <c r="M25" s="14">
        <f t="shared" si="0"/>
        <v>0.27960526315789475</v>
      </c>
      <c r="N25" s="8">
        <f t="shared" si="1"/>
        <v>0.35069444444444442</v>
      </c>
      <c r="O25" s="51">
        <v>8.6560000000000628</v>
      </c>
      <c r="P25" s="34">
        <v>389</v>
      </c>
      <c r="Q25" s="34">
        <v>288</v>
      </c>
      <c r="R25" s="35">
        <v>247</v>
      </c>
      <c r="S25" s="34">
        <f t="shared" si="2"/>
        <v>0.27960526315789475</v>
      </c>
      <c r="T25" s="46">
        <f t="shared" si="3"/>
        <v>0.35069444444444442</v>
      </c>
      <c r="U25" s="52">
        <f t="shared" si="4"/>
        <v>0.5748987854251012</v>
      </c>
    </row>
    <row r="26" spans="1:21" x14ac:dyDescent="0.3">
      <c r="A26" s="7">
        <v>6.6560000000000059</v>
      </c>
      <c r="B26" s="4">
        <v>288</v>
      </c>
      <c r="C26" s="25">
        <v>6.6560000000000059</v>
      </c>
      <c r="D26" s="26">
        <v>288</v>
      </c>
      <c r="E26" s="3"/>
      <c r="F26" s="8"/>
      <c r="I26" s="15">
        <v>10.75</v>
      </c>
      <c r="J26" s="14">
        <v>353</v>
      </c>
      <c r="K26" s="14">
        <v>259</v>
      </c>
      <c r="L26" s="3">
        <v>238</v>
      </c>
      <c r="M26" s="14">
        <f t="shared" si="0"/>
        <v>0.22569444444444445</v>
      </c>
      <c r="N26" s="8">
        <f t="shared" si="1"/>
        <v>0.36293436293436293</v>
      </c>
      <c r="O26" s="51">
        <v>10.75</v>
      </c>
      <c r="P26" s="34">
        <v>353</v>
      </c>
      <c r="Q26" s="34">
        <v>259</v>
      </c>
      <c r="R26" s="35">
        <v>238</v>
      </c>
      <c r="S26" s="34">
        <f t="shared" si="2"/>
        <v>0.22569444444444445</v>
      </c>
      <c r="T26" s="46">
        <f t="shared" si="3"/>
        <v>0.36293436293436293</v>
      </c>
      <c r="U26" s="52">
        <f t="shared" si="4"/>
        <v>0.48319327731092437</v>
      </c>
    </row>
    <row r="27" spans="1:21" x14ac:dyDescent="0.3">
      <c r="A27" s="7">
        <v>14.625</v>
      </c>
      <c r="B27" s="4">
        <v>307</v>
      </c>
      <c r="C27" s="25">
        <v>14.625</v>
      </c>
      <c r="D27" s="26">
        <v>307</v>
      </c>
      <c r="E27" s="3"/>
      <c r="F27" s="8"/>
      <c r="I27" s="15">
        <v>10.75</v>
      </c>
      <c r="J27" s="14">
        <v>434</v>
      </c>
      <c r="K27" s="14">
        <v>296</v>
      </c>
      <c r="L27" s="3">
        <v>258</v>
      </c>
      <c r="M27" s="14">
        <f t="shared" si="0"/>
        <v>0.41368078175895767</v>
      </c>
      <c r="N27" s="8">
        <f t="shared" si="1"/>
        <v>0.46621621621621623</v>
      </c>
      <c r="O27" s="51">
        <v>10.75</v>
      </c>
      <c r="P27" s="34">
        <v>434</v>
      </c>
      <c r="Q27" s="34">
        <v>296</v>
      </c>
      <c r="R27" s="35">
        <v>258</v>
      </c>
      <c r="S27" s="34">
        <f t="shared" si="2"/>
        <v>0.41368078175895767</v>
      </c>
      <c r="T27" s="46">
        <f t="shared" si="3"/>
        <v>0.46621621621621623</v>
      </c>
      <c r="U27" s="52">
        <f t="shared" si="4"/>
        <v>0.68217054263565891</v>
      </c>
    </row>
    <row r="28" spans="1:21" x14ac:dyDescent="0.3">
      <c r="A28" s="7">
        <v>2.8439999999999941</v>
      </c>
      <c r="B28" s="4">
        <v>294</v>
      </c>
      <c r="C28" s="25">
        <v>2.8439999999999941</v>
      </c>
      <c r="D28" s="26">
        <v>294</v>
      </c>
      <c r="E28" s="3"/>
      <c r="F28" s="8"/>
      <c r="I28" s="15">
        <v>11.046999999999912</v>
      </c>
      <c r="J28" s="14">
        <v>354</v>
      </c>
      <c r="K28" s="14">
        <v>270</v>
      </c>
      <c r="L28" s="3">
        <v>239</v>
      </c>
      <c r="M28" s="14">
        <f t="shared" si="0"/>
        <v>0.20408163265306123</v>
      </c>
      <c r="N28" s="8">
        <f t="shared" si="1"/>
        <v>0.31111111111111112</v>
      </c>
      <c r="O28" s="51">
        <v>11.046999999999912</v>
      </c>
      <c r="P28" s="34">
        <v>354</v>
      </c>
      <c r="Q28" s="34">
        <v>270</v>
      </c>
      <c r="R28" s="35">
        <v>239</v>
      </c>
      <c r="S28" s="34">
        <f t="shared" si="2"/>
        <v>0.20408163265306123</v>
      </c>
      <c r="T28" s="46">
        <f t="shared" si="3"/>
        <v>0.31111111111111112</v>
      </c>
      <c r="U28" s="52">
        <f t="shared" si="4"/>
        <v>0.48117154811715479</v>
      </c>
    </row>
    <row r="29" spans="1:21" x14ac:dyDescent="0.3">
      <c r="A29" s="7">
        <v>8.6719999999999686</v>
      </c>
      <c r="B29" s="4">
        <v>278</v>
      </c>
      <c r="C29" s="25">
        <v>8.6719999999999686</v>
      </c>
      <c r="D29" s="26">
        <v>278</v>
      </c>
      <c r="E29" s="3"/>
      <c r="F29" s="8"/>
      <c r="I29" s="15">
        <v>11.187999999999988</v>
      </c>
      <c r="J29" s="14">
        <v>333</v>
      </c>
      <c r="K29" s="14">
        <v>256</v>
      </c>
      <c r="L29" s="3">
        <v>227</v>
      </c>
      <c r="M29" s="14">
        <f t="shared" si="0"/>
        <v>0.19784172661870503</v>
      </c>
      <c r="N29" s="8">
        <f t="shared" si="1"/>
        <v>0.30078125</v>
      </c>
      <c r="O29" s="51">
        <v>11.187999999999988</v>
      </c>
      <c r="P29" s="34">
        <v>333</v>
      </c>
      <c r="Q29" s="34">
        <v>256</v>
      </c>
      <c r="R29" s="35">
        <v>227</v>
      </c>
      <c r="S29" s="34">
        <f t="shared" si="2"/>
        <v>0.19784172661870503</v>
      </c>
      <c r="T29" s="46">
        <f t="shared" si="3"/>
        <v>0.30078125</v>
      </c>
      <c r="U29" s="52">
        <f t="shared" si="4"/>
        <v>0.46696035242290751</v>
      </c>
    </row>
    <row r="30" spans="1:21" x14ac:dyDescent="0.3">
      <c r="A30" s="7">
        <v>19.687000000000012</v>
      </c>
      <c r="B30" s="4">
        <v>296</v>
      </c>
      <c r="C30" s="25">
        <v>19.687000000000012</v>
      </c>
      <c r="D30" s="26">
        <v>296</v>
      </c>
      <c r="E30" s="3"/>
      <c r="F30" s="8"/>
      <c r="I30" s="15">
        <v>11.078000000000088</v>
      </c>
      <c r="J30" s="14">
        <v>337</v>
      </c>
      <c r="K30" s="14">
        <v>265</v>
      </c>
      <c r="L30" s="3">
        <v>230</v>
      </c>
      <c r="M30" s="14">
        <f t="shared" si="0"/>
        <v>0.13851351351351351</v>
      </c>
      <c r="N30" s="8">
        <f t="shared" si="1"/>
        <v>0.27169811320754716</v>
      </c>
      <c r="O30" s="51">
        <v>11.078000000000088</v>
      </c>
      <c r="P30" s="34">
        <v>337</v>
      </c>
      <c r="Q30" s="34">
        <v>265</v>
      </c>
      <c r="R30" s="35">
        <v>230</v>
      </c>
      <c r="S30" s="34">
        <f t="shared" si="2"/>
        <v>0.13851351351351351</v>
      </c>
      <c r="T30" s="46">
        <f t="shared" si="3"/>
        <v>0.27169811320754716</v>
      </c>
      <c r="U30" s="52">
        <f t="shared" si="4"/>
        <v>0.4652173913043478</v>
      </c>
    </row>
    <row r="31" spans="1:21" x14ac:dyDescent="0.3">
      <c r="A31" s="39">
        <v>907.39099999999996</v>
      </c>
      <c r="B31" s="40">
        <v>319</v>
      </c>
      <c r="C31" s="25"/>
      <c r="D31" s="26"/>
      <c r="E31" s="3"/>
      <c r="F31" s="8"/>
      <c r="I31" s="15">
        <v>10.905999999999949</v>
      </c>
      <c r="J31" s="14">
        <v>397</v>
      </c>
      <c r="K31" s="14">
        <v>287</v>
      </c>
      <c r="L31" s="3">
        <v>240</v>
      </c>
      <c r="M31" s="14">
        <f t="shared" si="0"/>
        <v>0.2445141065830721</v>
      </c>
      <c r="N31" s="8">
        <f t="shared" si="1"/>
        <v>0.38327526132404183</v>
      </c>
      <c r="O31" s="51"/>
      <c r="P31" s="34"/>
      <c r="Q31" s="34"/>
      <c r="R31" s="35"/>
      <c r="S31" s="34"/>
      <c r="T31" s="46"/>
      <c r="U31" s="52"/>
    </row>
    <row r="32" spans="1:21" x14ac:dyDescent="0.3">
      <c r="A32" s="7">
        <v>31.687000000000126</v>
      </c>
      <c r="B32" s="4">
        <v>273</v>
      </c>
      <c r="C32" s="25">
        <v>31.687000000000126</v>
      </c>
      <c r="D32" s="26">
        <v>273</v>
      </c>
      <c r="E32" s="3"/>
      <c r="F32" s="8"/>
      <c r="I32" s="15">
        <v>9.5310000000000628</v>
      </c>
      <c r="J32" s="14">
        <v>337</v>
      </c>
      <c r="K32" s="14">
        <v>252</v>
      </c>
      <c r="L32" s="3">
        <v>226</v>
      </c>
      <c r="M32" s="14">
        <f t="shared" si="0"/>
        <v>0.23443223443223443</v>
      </c>
      <c r="N32" s="8">
        <f t="shared" si="1"/>
        <v>0.33730158730158732</v>
      </c>
      <c r="O32" s="51">
        <v>9.5310000000000628</v>
      </c>
      <c r="P32" s="34">
        <v>337</v>
      </c>
      <c r="Q32" s="34">
        <v>252</v>
      </c>
      <c r="R32" s="35">
        <v>226</v>
      </c>
      <c r="S32" s="34">
        <f t="shared" si="2"/>
        <v>0.23443223443223443</v>
      </c>
      <c r="T32" s="46">
        <f t="shared" si="3"/>
        <v>0.33730158730158732</v>
      </c>
      <c r="U32" s="52">
        <f t="shared" si="4"/>
        <v>0.49115044247787609</v>
      </c>
    </row>
    <row r="33" spans="1:37" ht="15" thickBot="1" x14ac:dyDescent="0.35">
      <c r="A33" s="9">
        <v>3.6569999999999254</v>
      </c>
      <c r="B33" s="10">
        <v>281</v>
      </c>
      <c r="C33" s="30">
        <v>3.6569999999999254</v>
      </c>
      <c r="D33" s="31">
        <v>281</v>
      </c>
      <c r="E33" s="11"/>
      <c r="F33" s="12"/>
      <c r="G33" s="21"/>
      <c r="H33" s="21"/>
      <c r="I33" s="16">
        <v>11.280999999999949</v>
      </c>
      <c r="J33" s="17">
        <v>335</v>
      </c>
      <c r="K33" s="17">
        <v>257</v>
      </c>
      <c r="L33" s="11">
        <v>227</v>
      </c>
      <c r="M33" s="17">
        <f t="shared" si="0"/>
        <v>0.19217081850533807</v>
      </c>
      <c r="N33" s="12">
        <f t="shared" si="1"/>
        <v>0.30350194552529181</v>
      </c>
      <c r="O33" s="53">
        <v>11.280999999999949</v>
      </c>
      <c r="P33" s="36">
        <v>335</v>
      </c>
      <c r="Q33" s="36">
        <v>257</v>
      </c>
      <c r="R33" s="37">
        <v>227</v>
      </c>
      <c r="S33" s="36">
        <f t="shared" si="2"/>
        <v>0.19217081850533807</v>
      </c>
      <c r="T33" s="47">
        <f t="shared" si="3"/>
        <v>0.30350194552529181</v>
      </c>
      <c r="U33" s="54">
        <f t="shared" si="4"/>
        <v>0.47577092511013214</v>
      </c>
    </row>
    <row r="35" spans="1:37" x14ac:dyDescent="0.3">
      <c r="W35" s="44" t="s">
        <v>21</v>
      </c>
      <c r="X35">
        <v>0.05</v>
      </c>
    </row>
    <row r="36" spans="1:37" x14ac:dyDescent="0.3">
      <c r="A36">
        <f>AVERAGE(A4:A33)</f>
        <v>41.908333333333331</v>
      </c>
      <c r="C36">
        <f>AVERAGE(C4:C33)</f>
        <v>12.285142857142858</v>
      </c>
      <c r="D36" t="s">
        <v>17</v>
      </c>
      <c r="I36">
        <f>AVERAGE(I4:I33)</f>
        <v>21.120833333333334</v>
      </c>
      <c r="O36">
        <f>AVERAGE(O4:O33)</f>
        <v>10.705928571428574</v>
      </c>
      <c r="P36" t="s">
        <v>17</v>
      </c>
      <c r="V36" t="s">
        <v>26</v>
      </c>
      <c r="W36" s="44" t="s">
        <v>19</v>
      </c>
      <c r="X36">
        <f>_xlfn.T.TEST(C4:C33,O4:O33,1,3)</f>
        <v>0.18462429265642749</v>
      </c>
      <c r="Y36" s="121" t="s">
        <v>22</v>
      </c>
      <c r="Z36" s="121"/>
      <c r="AA36" s="121"/>
      <c r="AB36" s="121"/>
      <c r="AC36" s="121"/>
      <c r="AD36" t="s">
        <v>24</v>
      </c>
      <c r="AE36" s="121" t="s">
        <v>23</v>
      </c>
      <c r="AF36" s="121"/>
      <c r="AG36" s="121"/>
      <c r="AH36" s="121"/>
      <c r="AI36" s="121"/>
      <c r="AJ36" s="121"/>
      <c r="AK36" s="121"/>
    </row>
    <row r="37" spans="1:37" x14ac:dyDescent="0.3">
      <c r="C37">
        <f>_xlfn.STDEV.S(C4:C33)</f>
        <v>9.1126267616617955</v>
      </c>
      <c r="D37" s="44">
        <f>C37/C36</f>
        <v>0.7417599345508229</v>
      </c>
      <c r="O37">
        <f>_xlfn.STDEV.S(O4:O33)</f>
        <v>0.86963227343818961</v>
      </c>
      <c r="P37" s="44">
        <f>O37/O36</f>
        <v>8.1229037503483731E-2</v>
      </c>
      <c r="W37" s="44"/>
      <c r="Y37" s="121"/>
      <c r="Z37" s="121"/>
      <c r="AA37" s="121"/>
      <c r="AB37" s="121"/>
      <c r="AC37" s="121"/>
      <c r="AE37" s="121"/>
      <c r="AF37" s="121"/>
      <c r="AG37" s="121"/>
      <c r="AH37" s="121"/>
      <c r="AI37" s="121"/>
      <c r="AJ37" s="121"/>
      <c r="AK37" s="121"/>
    </row>
    <row r="59" spans="1:28" ht="15" thickBot="1" x14ac:dyDescent="0.35">
      <c r="A59" s="44" t="s">
        <v>31</v>
      </c>
      <c r="B59" s="44" t="s">
        <v>32</v>
      </c>
    </row>
    <row r="60" spans="1:28" x14ac:dyDescent="0.3">
      <c r="A60" s="118" t="s">
        <v>1</v>
      </c>
      <c r="B60" s="119"/>
      <c r="C60" s="119"/>
      <c r="D60" s="119"/>
      <c r="E60" s="119"/>
      <c r="F60" s="120"/>
      <c r="I60" s="27" t="s">
        <v>3</v>
      </c>
      <c r="J60" s="28"/>
      <c r="K60" s="28"/>
      <c r="L60" s="28"/>
      <c r="M60" s="28"/>
      <c r="N60" s="29"/>
      <c r="O60" s="22" t="s">
        <v>12</v>
      </c>
      <c r="P60" s="22"/>
      <c r="Q60" s="22"/>
      <c r="R60" s="22"/>
      <c r="S60" s="22"/>
      <c r="T60" s="22"/>
      <c r="U60" s="6"/>
    </row>
    <row r="61" spans="1:28" x14ac:dyDescent="0.3">
      <c r="A61" s="19" t="s">
        <v>11</v>
      </c>
      <c r="B61" s="2"/>
      <c r="C61" s="1" t="s">
        <v>12</v>
      </c>
      <c r="D61" s="2"/>
      <c r="E61" s="1"/>
      <c r="F61" s="18"/>
      <c r="I61" s="15" t="s">
        <v>4</v>
      </c>
      <c r="J61" s="14" t="s">
        <v>0</v>
      </c>
      <c r="K61" s="14" t="s">
        <v>7</v>
      </c>
      <c r="L61" s="3" t="s">
        <v>8</v>
      </c>
      <c r="M61" s="13" t="s">
        <v>9</v>
      </c>
      <c r="N61" s="48" t="s">
        <v>10</v>
      </c>
      <c r="O61" s="65" t="s">
        <v>4</v>
      </c>
      <c r="P61" s="48" t="s">
        <v>0</v>
      </c>
      <c r="Q61" s="48" t="s">
        <v>7</v>
      </c>
      <c r="R61" s="55" t="s">
        <v>8</v>
      </c>
      <c r="S61" s="48" t="s">
        <v>9</v>
      </c>
      <c r="T61" s="55" t="s">
        <v>10</v>
      </c>
      <c r="U61" s="69" t="s">
        <v>18</v>
      </c>
      <c r="W61" t="s">
        <v>15</v>
      </c>
      <c r="X61">
        <f>SQRT(29)</f>
        <v>5.3851648071345037</v>
      </c>
    </row>
    <row r="62" spans="1:28" ht="15" thickBot="1" x14ac:dyDescent="0.35">
      <c r="A62" s="19">
        <v>155</v>
      </c>
      <c r="B62" s="2">
        <v>9.2999999999999999E-2</v>
      </c>
      <c r="C62" s="23">
        <v>155</v>
      </c>
      <c r="D62" s="24">
        <v>9.2999999999999999E-2</v>
      </c>
      <c r="E62" s="1"/>
      <c r="F62" s="18"/>
      <c r="I62" s="20">
        <v>1.141</v>
      </c>
      <c r="J62" s="13">
        <v>168</v>
      </c>
      <c r="K62" s="2">
        <v>155</v>
      </c>
      <c r="L62" s="1">
        <v>146</v>
      </c>
      <c r="M62" s="13">
        <f t="shared" ref="M62:M91" si="11">(J62-C62)/C62</f>
        <v>8.387096774193549E-2</v>
      </c>
      <c r="N62" s="8">
        <f>(J62-K62)/K62</f>
        <v>8.387096774193549E-2</v>
      </c>
      <c r="O62" s="66">
        <v>1.141</v>
      </c>
      <c r="P62" s="32">
        <v>168</v>
      </c>
      <c r="Q62" s="32">
        <v>155</v>
      </c>
      <c r="R62" s="33">
        <v>146</v>
      </c>
      <c r="S62" s="32">
        <v>8.387096774193549E-2</v>
      </c>
      <c r="T62" s="45">
        <v>8.387096774193549E-2</v>
      </c>
      <c r="U62" s="50">
        <f>(P62-R62)/R62</f>
        <v>0.15068493150684931</v>
      </c>
      <c r="Y62" t="s">
        <v>16</v>
      </c>
      <c r="Z62" t="s">
        <v>44</v>
      </c>
      <c r="AA62" t="s">
        <v>8</v>
      </c>
    </row>
    <row r="63" spans="1:28" x14ac:dyDescent="0.3">
      <c r="A63" s="7">
        <v>179</v>
      </c>
      <c r="B63" s="4">
        <v>6.2E-2</v>
      </c>
      <c r="C63" s="25">
        <v>179</v>
      </c>
      <c r="D63" s="26">
        <v>6.2E-2</v>
      </c>
      <c r="E63" s="3"/>
      <c r="F63" s="8"/>
      <c r="I63" s="15">
        <v>1.4060000000000001</v>
      </c>
      <c r="J63" s="14">
        <v>186</v>
      </c>
      <c r="K63" s="4">
        <v>163</v>
      </c>
      <c r="L63" s="3">
        <v>156</v>
      </c>
      <c r="M63" s="14">
        <f t="shared" si="11"/>
        <v>3.9106145251396648E-2</v>
      </c>
      <c r="N63" s="8">
        <f t="shared" ref="N63:N91" si="12">(J63-K63)/K63</f>
        <v>0.1411042944785276</v>
      </c>
      <c r="O63" s="67">
        <v>1.4060000000000001</v>
      </c>
      <c r="P63" s="34">
        <v>186</v>
      </c>
      <c r="Q63" s="34">
        <v>163</v>
      </c>
      <c r="R63" s="35">
        <v>156</v>
      </c>
      <c r="S63" s="34">
        <v>3.9106145251396648E-2</v>
      </c>
      <c r="T63" s="46">
        <v>0.1411042944785276</v>
      </c>
      <c r="U63" s="52">
        <f t="shared" ref="U63:U71" si="13">(P63-R63)/R63</f>
        <v>0.19230769230769232</v>
      </c>
      <c r="W63" s="5">
        <v>0</v>
      </c>
      <c r="X63" s="22">
        <f t="shared" ref="X63:X68" si="14">W63+0.1</f>
        <v>0.1</v>
      </c>
      <c r="Y63" s="59">
        <f>COUNTIFS($S$62:$S$91,"&lt;"&amp;X63,$S$62:$S$91,"&gt;="&amp;W63)/30</f>
        <v>0.56666666666666665</v>
      </c>
      <c r="Z63" s="56">
        <f>COUNTIFS($T$62:$T$91,"&lt;"&amp;X63,$T$62:$T$91,"&gt;="&amp;W63)/30</f>
        <v>0.16666666666666666</v>
      </c>
      <c r="AA63" s="62">
        <f>COUNTIFS($U$62:$U$91,"&lt;"&amp;X63,$U$62:$U$91,"&gt;="&amp;W63)/30</f>
        <v>0</v>
      </c>
      <c r="AB63" s="6" t="str">
        <f>_xlfn.CONCAT(TEXT(W63,"0.00"),"-",TEXT(X63,"0.00"))</f>
        <v>0.00-0.10</v>
      </c>
    </row>
    <row r="64" spans="1:28" x14ac:dyDescent="0.3">
      <c r="A64" s="7">
        <v>180</v>
      </c>
      <c r="B64" s="4">
        <v>0.156</v>
      </c>
      <c r="C64" s="25">
        <v>180</v>
      </c>
      <c r="D64" s="26">
        <v>0.156</v>
      </c>
      <c r="E64" s="3"/>
      <c r="F64" s="8"/>
      <c r="I64" s="15">
        <v>1.5470000000000002</v>
      </c>
      <c r="J64" s="14">
        <v>184</v>
      </c>
      <c r="K64" s="4">
        <v>167</v>
      </c>
      <c r="L64" s="3">
        <v>136</v>
      </c>
      <c r="M64" s="14">
        <f t="shared" si="11"/>
        <v>2.2222222222222223E-2</v>
      </c>
      <c r="N64" s="8">
        <f t="shared" si="12"/>
        <v>0.10179640718562874</v>
      </c>
      <c r="O64" s="67">
        <v>1.5470000000000002</v>
      </c>
      <c r="P64" s="34">
        <v>184</v>
      </c>
      <c r="Q64" s="34">
        <v>167</v>
      </c>
      <c r="R64" s="35">
        <v>136</v>
      </c>
      <c r="S64" s="34">
        <v>2.2222222222222223E-2</v>
      </c>
      <c r="T64" s="46">
        <v>0.10179640718562874</v>
      </c>
      <c r="U64" s="52">
        <f t="shared" si="13"/>
        <v>0.35294117647058826</v>
      </c>
      <c r="W64" s="7">
        <f t="shared" ref="W64:W69" si="15">X63</f>
        <v>0.1</v>
      </c>
      <c r="X64">
        <f t="shared" si="14"/>
        <v>0.2</v>
      </c>
      <c r="Y64" s="60">
        <f t="shared" ref="Y64:Y69" si="16">COUNTIFS($S$62:$S$91,"&lt;"&amp;X64,$S$62:$S$91,"&gt;="&amp;W64)/30</f>
        <v>0.3</v>
      </c>
      <c r="Z64" s="57">
        <f t="shared" ref="Z64:Z69" si="17">COUNTIFS($T$62:$T$91,"&lt;"&amp;X64,$T$62:$T$91,"&gt;="&amp;W64)/30</f>
        <v>0.36666666666666664</v>
      </c>
      <c r="AA64" s="63">
        <f t="shared" ref="AA64:AA69" si="18">COUNTIFS($U$62:$U$91,"&lt;"&amp;X64,$U$62:$U$91,"&gt;="&amp;W64)/30</f>
        <v>0.16666666666666666</v>
      </c>
      <c r="AB64" s="8" t="str">
        <f t="shared" ref="AB64:AB69" si="19">_xlfn.CONCAT(TEXT(W64,"0.00"),"-",TEXT(X64,"0.00"))</f>
        <v>0.10-0.20</v>
      </c>
    </row>
    <row r="65" spans="1:32" x14ac:dyDescent="0.3">
      <c r="A65" s="7">
        <v>164</v>
      </c>
      <c r="B65" s="4">
        <v>6.2E-2</v>
      </c>
      <c r="C65" s="25">
        <v>164</v>
      </c>
      <c r="D65" s="26">
        <v>6.2E-2</v>
      </c>
      <c r="E65" s="3"/>
      <c r="F65" s="8"/>
      <c r="I65" s="15">
        <v>1.734</v>
      </c>
      <c r="J65" s="14">
        <v>173</v>
      </c>
      <c r="K65" s="4">
        <v>152</v>
      </c>
      <c r="L65" s="3">
        <v>146</v>
      </c>
      <c r="M65" s="14">
        <f t="shared" si="11"/>
        <v>5.4878048780487805E-2</v>
      </c>
      <c r="N65" s="8">
        <f t="shared" si="12"/>
        <v>0.13815789473684212</v>
      </c>
      <c r="O65" s="67">
        <v>1.734</v>
      </c>
      <c r="P65" s="34">
        <v>173</v>
      </c>
      <c r="Q65" s="34">
        <v>152</v>
      </c>
      <c r="R65" s="35">
        <v>146</v>
      </c>
      <c r="S65" s="34">
        <v>5.4878048780487805E-2</v>
      </c>
      <c r="T65" s="46">
        <v>0.13815789473684212</v>
      </c>
      <c r="U65" s="52">
        <f t="shared" si="13"/>
        <v>0.18493150684931506</v>
      </c>
      <c r="W65" s="7">
        <f t="shared" si="15"/>
        <v>0.2</v>
      </c>
      <c r="X65">
        <f t="shared" si="14"/>
        <v>0.30000000000000004</v>
      </c>
      <c r="Y65" s="60">
        <f t="shared" si="16"/>
        <v>0.13333333333333333</v>
      </c>
      <c r="Z65" s="57">
        <f t="shared" si="17"/>
        <v>0.23333333333333334</v>
      </c>
      <c r="AA65" s="63">
        <f t="shared" si="18"/>
        <v>0.1</v>
      </c>
      <c r="AB65" s="8" t="str">
        <f t="shared" si="19"/>
        <v>0.20-0.30</v>
      </c>
    </row>
    <row r="66" spans="1:32" x14ac:dyDescent="0.3">
      <c r="A66" s="7">
        <v>182</v>
      </c>
      <c r="B66" s="4">
        <v>4.6999999999999986E-2</v>
      </c>
      <c r="C66" s="25">
        <v>182</v>
      </c>
      <c r="D66" s="26">
        <v>4.6999999999999986E-2</v>
      </c>
      <c r="E66" s="3"/>
      <c r="F66" s="8"/>
      <c r="I66" s="15">
        <v>1.7809999999999997</v>
      </c>
      <c r="J66" s="14">
        <v>224</v>
      </c>
      <c r="K66" s="4">
        <v>172</v>
      </c>
      <c r="L66" s="3">
        <v>156</v>
      </c>
      <c r="M66" s="14">
        <f t="shared" si="11"/>
        <v>0.23076923076923078</v>
      </c>
      <c r="N66" s="8">
        <f t="shared" si="12"/>
        <v>0.30232558139534882</v>
      </c>
      <c r="O66" s="67">
        <v>1.7809999999999997</v>
      </c>
      <c r="P66" s="34">
        <v>224</v>
      </c>
      <c r="Q66" s="34">
        <v>172</v>
      </c>
      <c r="R66" s="35">
        <v>156</v>
      </c>
      <c r="S66" s="34">
        <v>0.23076923076923078</v>
      </c>
      <c r="T66" s="46">
        <v>0.30232558139534882</v>
      </c>
      <c r="U66" s="52">
        <f t="shared" si="13"/>
        <v>0.4358974358974359</v>
      </c>
      <c r="W66" s="7">
        <f t="shared" si="15"/>
        <v>0.30000000000000004</v>
      </c>
      <c r="X66">
        <f t="shared" si="14"/>
        <v>0.4</v>
      </c>
      <c r="Y66" s="60">
        <f t="shared" si="16"/>
        <v>0</v>
      </c>
      <c r="Z66" s="57">
        <f t="shared" si="17"/>
        <v>0.2</v>
      </c>
      <c r="AA66" s="63">
        <f t="shared" si="18"/>
        <v>0.4</v>
      </c>
      <c r="AB66" s="8" t="str">
        <f t="shared" si="19"/>
        <v>0.30-0.40</v>
      </c>
      <c r="AD66">
        <f>AVERAGE(S62:S91)</f>
        <v>0.11027205193232725</v>
      </c>
      <c r="AE66">
        <f>AVERAGE(T62:T91)</f>
        <v>0.20673585019658247</v>
      </c>
      <c r="AF66">
        <f>AVERAGE(U62:U91)</f>
        <v>0.35185129036196233</v>
      </c>
    </row>
    <row r="67" spans="1:32" x14ac:dyDescent="0.3">
      <c r="A67" s="7">
        <v>174</v>
      </c>
      <c r="B67" s="4">
        <v>6.2E-2</v>
      </c>
      <c r="C67" s="25">
        <v>174</v>
      </c>
      <c r="D67" s="26">
        <v>6.2E-2</v>
      </c>
      <c r="E67" s="3"/>
      <c r="F67" s="8"/>
      <c r="I67" s="15">
        <v>1.657</v>
      </c>
      <c r="J67" s="14">
        <v>195</v>
      </c>
      <c r="K67" s="4">
        <v>154</v>
      </c>
      <c r="L67" s="3">
        <v>141</v>
      </c>
      <c r="M67" s="14">
        <f t="shared" si="11"/>
        <v>0.1206896551724138</v>
      </c>
      <c r="N67" s="8">
        <f t="shared" si="12"/>
        <v>0.26623376623376621</v>
      </c>
      <c r="O67" s="67">
        <v>1.657</v>
      </c>
      <c r="P67" s="34">
        <v>195</v>
      </c>
      <c r="Q67" s="34">
        <v>154</v>
      </c>
      <c r="R67" s="35">
        <v>141</v>
      </c>
      <c r="S67" s="34">
        <v>0.1206896551724138</v>
      </c>
      <c r="T67" s="46">
        <v>0.26623376623376621</v>
      </c>
      <c r="U67" s="52">
        <f t="shared" si="13"/>
        <v>0.38297872340425532</v>
      </c>
      <c r="W67" s="7">
        <f t="shared" si="15"/>
        <v>0.4</v>
      </c>
      <c r="X67">
        <f t="shared" si="14"/>
        <v>0.5</v>
      </c>
      <c r="Y67" s="60">
        <f t="shared" si="16"/>
        <v>0</v>
      </c>
      <c r="Z67" s="57">
        <f t="shared" si="17"/>
        <v>3.3333333333333333E-2</v>
      </c>
      <c r="AA67" s="63">
        <f t="shared" si="18"/>
        <v>0.26666666666666666</v>
      </c>
      <c r="AB67" s="8" t="str">
        <f t="shared" si="19"/>
        <v>0.40-0.50</v>
      </c>
    </row>
    <row r="68" spans="1:32" x14ac:dyDescent="0.3">
      <c r="A68" s="7">
        <v>177</v>
      </c>
      <c r="B68" s="4">
        <v>6.2000000000000055E-2</v>
      </c>
      <c r="C68" s="25">
        <v>177</v>
      </c>
      <c r="D68" s="26">
        <v>6.2000000000000055E-2</v>
      </c>
      <c r="E68" s="3"/>
      <c r="F68" s="8"/>
      <c r="I68" s="15">
        <v>1.6709999999999994</v>
      </c>
      <c r="J68" s="14">
        <v>198</v>
      </c>
      <c r="K68" s="4">
        <v>170</v>
      </c>
      <c r="L68" s="3">
        <v>136</v>
      </c>
      <c r="M68" s="14">
        <f t="shared" si="11"/>
        <v>0.11864406779661017</v>
      </c>
      <c r="N68" s="8">
        <f t="shared" si="12"/>
        <v>0.16470588235294117</v>
      </c>
      <c r="O68" s="67">
        <v>1.6709999999999994</v>
      </c>
      <c r="P68" s="34">
        <v>198</v>
      </c>
      <c r="Q68" s="34">
        <v>170</v>
      </c>
      <c r="R68" s="35">
        <v>136</v>
      </c>
      <c r="S68" s="34">
        <v>0.11864406779661017</v>
      </c>
      <c r="T68" s="46">
        <v>0.16470588235294117</v>
      </c>
      <c r="U68" s="52">
        <f t="shared" si="13"/>
        <v>0.45588235294117646</v>
      </c>
      <c r="W68" s="7">
        <f t="shared" si="15"/>
        <v>0.5</v>
      </c>
      <c r="X68">
        <f t="shared" si="14"/>
        <v>0.6</v>
      </c>
      <c r="Y68" s="60">
        <f t="shared" si="16"/>
        <v>0</v>
      </c>
      <c r="Z68" s="57">
        <f t="shared" si="17"/>
        <v>0</v>
      </c>
      <c r="AA68" s="63">
        <f t="shared" si="18"/>
        <v>0</v>
      </c>
      <c r="AB68" s="8" t="str">
        <f t="shared" si="19"/>
        <v>0.50-0.60</v>
      </c>
    </row>
    <row r="69" spans="1:32" ht="15" thickBot="1" x14ac:dyDescent="0.35">
      <c r="A69" s="7">
        <v>187</v>
      </c>
      <c r="B69" s="4">
        <v>0.15599999999999992</v>
      </c>
      <c r="C69" s="25">
        <v>187</v>
      </c>
      <c r="D69" s="26">
        <v>0.15599999999999992</v>
      </c>
      <c r="E69" s="3"/>
      <c r="F69" s="8"/>
      <c r="I69" s="15">
        <v>1.7040000000000006</v>
      </c>
      <c r="J69" s="14">
        <v>219</v>
      </c>
      <c r="K69" s="4">
        <v>163</v>
      </c>
      <c r="L69" s="3">
        <v>151</v>
      </c>
      <c r="M69" s="14">
        <f t="shared" si="11"/>
        <v>0.17112299465240641</v>
      </c>
      <c r="N69" s="8">
        <f t="shared" si="12"/>
        <v>0.34355828220858897</v>
      </c>
      <c r="O69" s="67">
        <v>1.7040000000000006</v>
      </c>
      <c r="P69" s="34">
        <v>219</v>
      </c>
      <c r="Q69" s="34">
        <v>163</v>
      </c>
      <c r="R69" s="35">
        <v>151</v>
      </c>
      <c r="S69" s="34">
        <v>0.17112299465240641</v>
      </c>
      <c r="T69" s="46">
        <v>0.34355828220858897</v>
      </c>
      <c r="U69" s="52">
        <f t="shared" si="13"/>
        <v>0.45033112582781459</v>
      </c>
      <c r="W69" s="9">
        <f t="shared" si="15"/>
        <v>0.6</v>
      </c>
      <c r="X69" s="38">
        <f>1</f>
        <v>1</v>
      </c>
      <c r="Y69" s="61">
        <f t="shared" si="16"/>
        <v>0</v>
      </c>
      <c r="Z69" s="58">
        <f t="shared" si="17"/>
        <v>0</v>
      </c>
      <c r="AA69" s="64">
        <f t="shared" si="18"/>
        <v>6.6666666666666666E-2</v>
      </c>
      <c r="AB69" s="12" t="str">
        <f t="shared" si="19"/>
        <v>0.60-1.00</v>
      </c>
    </row>
    <row r="70" spans="1:32" x14ac:dyDescent="0.3">
      <c r="A70" s="7">
        <v>165</v>
      </c>
      <c r="B70" s="4">
        <v>0.125</v>
      </c>
      <c r="C70" s="25">
        <v>165</v>
      </c>
      <c r="D70" s="26">
        <v>0.125</v>
      </c>
      <c r="E70" s="3"/>
      <c r="F70" s="8"/>
      <c r="I70" s="15">
        <v>1.7029999999999994</v>
      </c>
      <c r="J70" s="14">
        <v>187</v>
      </c>
      <c r="K70" s="4">
        <v>145</v>
      </c>
      <c r="L70" s="3">
        <v>138</v>
      </c>
      <c r="M70" s="14">
        <f t="shared" si="11"/>
        <v>0.13333333333333333</v>
      </c>
      <c r="N70" s="8">
        <f t="shared" si="12"/>
        <v>0.28965517241379313</v>
      </c>
      <c r="O70" s="67">
        <v>1.7029999999999994</v>
      </c>
      <c r="P70" s="34">
        <v>187</v>
      </c>
      <c r="Q70" s="34">
        <v>145</v>
      </c>
      <c r="R70" s="35">
        <v>138</v>
      </c>
      <c r="S70" s="34">
        <v>0.13333333333333333</v>
      </c>
      <c r="T70" s="46">
        <v>0.28965517241379313</v>
      </c>
      <c r="U70" s="52">
        <f t="shared" si="13"/>
        <v>0.35507246376811596</v>
      </c>
      <c r="Y70">
        <v>30</v>
      </c>
      <c r="Z70">
        <v>30</v>
      </c>
    </row>
    <row r="71" spans="1:32" x14ac:dyDescent="0.3">
      <c r="A71" s="7">
        <v>170</v>
      </c>
      <c r="B71" s="4">
        <v>0.125</v>
      </c>
      <c r="C71" s="25">
        <v>170</v>
      </c>
      <c r="D71" s="26">
        <v>0.125</v>
      </c>
      <c r="E71" s="3"/>
      <c r="F71" s="8"/>
      <c r="I71" s="15">
        <v>1.625</v>
      </c>
      <c r="J71" s="14">
        <v>188</v>
      </c>
      <c r="K71" s="4">
        <v>148</v>
      </c>
      <c r="L71" s="3">
        <v>141</v>
      </c>
      <c r="M71" s="14">
        <f t="shared" si="11"/>
        <v>0.10588235294117647</v>
      </c>
      <c r="N71" s="8">
        <f t="shared" si="12"/>
        <v>0.27027027027027029</v>
      </c>
      <c r="O71" s="67">
        <v>1.625</v>
      </c>
      <c r="P71" s="34">
        <v>188</v>
      </c>
      <c r="Q71" s="34">
        <v>148</v>
      </c>
      <c r="R71" s="35">
        <v>141</v>
      </c>
      <c r="S71" s="34">
        <v>0.10588235294117647</v>
      </c>
      <c r="T71" s="46">
        <v>0.27027027027027029</v>
      </c>
      <c r="U71" s="52">
        <f t="shared" si="13"/>
        <v>0.33333333333333331</v>
      </c>
      <c r="Y71">
        <f>SUM(Y63:Y69)</f>
        <v>1</v>
      </c>
      <c r="Z71">
        <f>SUM(Z63:Z69)</f>
        <v>0.99999999999999989</v>
      </c>
      <c r="AA71">
        <f>SUM(AA63:AA69)</f>
        <v>1</v>
      </c>
    </row>
    <row r="72" spans="1:32" x14ac:dyDescent="0.3">
      <c r="A72" s="7">
        <v>189</v>
      </c>
      <c r="B72" s="4">
        <v>9.4000000000000083E-2</v>
      </c>
      <c r="C72" s="25">
        <v>189</v>
      </c>
      <c r="D72" s="26">
        <v>9.4000000000000083E-2</v>
      </c>
      <c r="E72" s="3"/>
      <c r="F72" s="8"/>
      <c r="I72" s="15">
        <v>1.6719999999999988</v>
      </c>
      <c r="J72" s="14">
        <v>190</v>
      </c>
      <c r="K72" s="4">
        <v>177</v>
      </c>
      <c r="L72" s="3">
        <v>164</v>
      </c>
      <c r="M72" s="14">
        <f t="shared" si="11"/>
        <v>5.2910052910052907E-3</v>
      </c>
      <c r="N72" s="8">
        <f t="shared" si="12"/>
        <v>7.3446327683615822E-2</v>
      </c>
      <c r="O72" s="67">
        <v>1.6719999999999988</v>
      </c>
      <c r="P72" s="34">
        <v>190</v>
      </c>
      <c r="Q72" s="34">
        <v>177</v>
      </c>
      <c r="R72" s="35">
        <v>164</v>
      </c>
      <c r="S72" s="34">
        <v>5.2910052910052907E-3</v>
      </c>
      <c r="T72" s="46">
        <v>7.3446327683615822E-2</v>
      </c>
      <c r="U72" s="52">
        <f>(P72-R72)/R72</f>
        <v>0.15853658536585366</v>
      </c>
    </row>
    <row r="73" spans="1:32" x14ac:dyDescent="0.3">
      <c r="A73" s="7">
        <v>169</v>
      </c>
      <c r="B73" s="4">
        <v>0.18700000000000006</v>
      </c>
      <c r="C73" s="25">
        <v>169</v>
      </c>
      <c r="D73" s="26">
        <v>0.18700000000000006</v>
      </c>
      <c r="E73" s="3"/>
      <c r="F73" s="8"/>
      <c r="I73" s="15">
        <v>1.6710000000000029</v>
      </c>
      <c r="J73" s="14">
        <v>208</v>
      </c>
      <c r="K73" s="4">
        <v>156</v>
      </c>
      <c r="L73" s="3">
        <v>142</v>
      </c>
      <c r="M73" s="14">
        <f t="shared" si="11"/>
        <v>0.23076923076923078</v>
      </c>
      <c r="N73" s="8">
        <f t="shared" si="12"/>
        <v>0.33333333333333331</v>
      </c>
      <c r="O73" s="67">
        <v>1.6710000000000029</v>
      </c>
      <c r="P73" s="46">
        <v>208</v>
      </c>
      <c r="Q73" s="34">
        <v>156</v>
      </c>
      <c r="R73" s="35">
        <v>142</v>
      </c>
      <c r="S73" s="34">
        <v>0.23076923076923078</v>
      </c>
      <c r="T73" s="46">
        <v>0.33333333333333331</v>
      </c>
      <c r="U73" s="52">
        <f>(P73-R73)/R73</f>
        <v>0.46478873239436619</v>
      </c>
    </row>
    <row r="74" spans="1:32" x14ac:dyDescent="0.3">
      <c r="A74" s="7">
        <v>173</v>
      </c>
      <c r="B74" s="4">
        <v>0.1399999999999999</v>
      </c>
      <c r="C74" s="25">
        <v>173</v>
      </c>
      <c r="D74" s="26">
        <v>0.1399999999999999</v>
      </c>
      <c r="E74" s="3"/>
      <c r="F74" s="8"/>
      <c r="I74" s="15">
        <v>1.6409999999999982</v>
      </c>
      <c r="J74" s="14">
        <v>201</v>
      </c>
      <c r="K74" s="4">
        <v>146</v>
      </c>
      <c r="L74" s="3">
        <v>135</v>
      </c>
      <c r="M74" s="14">
        <f t="shared" si="11"/>
        <v>0.16184971098265896</v>
      </c>
      <c r="N74" s="8">
        <f t="shared" si="12"/>
        <v>0.37671232876712329</v>
      </c>
      <c r="O74" s="67">
        <v>1.6409999999999982</v>
      </c>
      <c r="P74" s="34">
        <v>201</v>
      </c>
      <c r="Q74" s="34">
        <v>146</v>
      </c>
      <c r="R74" s="35">
        <v>135</v>
      </c>
      <c r="S74" s="34">
        <v>0.16184971098265896</v>
      </c>
      <c r="T74" s="46">
        <v>0.37671232876712329</v>
      </c>
      <c r="U74" s="52">
        <f t="shared" ref="U74:U80" si="20">(P74-R74)/R74</f>
        <v>0.48888888888888887</v>
      </c>
    </row>
    <row r="75" spans="1:32" x14ac:dyDescent="0.3">
      <c r="A75" s="7">
        <v>173</v>
      </c>
      <c r="B75" s="4">
        <v>0.10899999999999999</v>
      </c>
      <c r="C75" s="25">
        <v>173</v>
      </c>
      <c r="D75" s="26">
        <v>0.10899999999999999</v>
      </c>
      <c r="E75" s="3"/>
      <c r="F75" s="8"/>
      <c r="I75" s="15">
        <v>1.7970000000000006</v>
      </c>
      <c r="J75" s="14">
        <v>183</v>
      </c>
      <c r="K75" s="4">
        <v>168</v>
      </c>
      <c r="L75" s="3">
        <v>135</v>
      </c>
      <c r="M75" s="14">
        <f t="shared" si="11"/>
        <v>5.7803468208092484E-2</v>
      </c>
      <c r="N75" s="8">
        <f t="shared" si="12"/>
        <v>8.9285714285714288E-2</v>
      </c>
      <c r="O75" s="67">
        <v>1.7970000000000006</v>
      </c>
      <c r="P75" s="34">
        <v>183</v>
      </c>
      <c r="Q75" s="34">
        <v>168</v>
      </c>
      <c r="R75" s="35">
        <v>135</v>
      </c>
      <c r="S75" s="34">
        <v>5.7803468208092484E-2</v>
      </c>
      <c r="T75" s="46">
        <v>8.9285714285714288E-2</v>
      </c>
      <c r="U75" s="52">
        <f t="shared" si="20"/>
        <v>0.35555555555555557</v>
      </c>
    </row>
    <row r="76" spans="1:32" x14ac:dyDescent="0.3">
      <c r="A76" s="7">
        <v>192</v>
      </c>
      <c r="B76" s="4">
        <v>0.18700000000000006</v>
      </c>
      <c r="C76" s="25">
        <v>192</v>
      </c>
      <c r="D76" s="26">
        <v>0.18700000000000006</v>
      </c>
      <c r="E76" s="3"/>
      <c r="F76" s="8"/>
      <c r="I76" s="15">
        <v>1.7029999999999994</v>
      </c>
      <c r="J76" s="14">
        <v>229</v>
      </c>
      <c r="K76" s="4">
        <v>171</v>
      </c>
      <c r="L76" s="3">
        <v>143</v>
      </c>
      <c r="M76" s="14">
        <f t="shared" si="11"/>
        <v>0.19270833333333334</v>
      </c>
      <c r="N76" s="8">
        <f t="shared" si="12"/>
        <v>0.33918128654970758</v>
      </c>
      <c r="O76" s="67">
        <v>1.7029999999999994</v>
      </c>
      <c r="P76" s="34">
        <v>229</v>
      </c>
      <c r="Q76" s="34">
        <v>171</v>
      </c>
      <c r="R76" s="35">
        <v>143</v>
      </c>
      <c r="S76" s="34">
        <v>0.19270833333333334</v>
      </c>
      <c r="T76" s="46">
        <v>0.33918128654970758</v>
      </c>
      <c r="U76" s="52">
        <f t="shared" si="20"/>
        <v>0.60139860139860135</v>
      </c>
    </row>
    <row r="77" spans="1:32" x14ac:dyDescent="0.3">
      <c r="A77" s="7">
        <v>183</v>
      </c>
      <c r="B77" s="4">
        <v>4.6999999999999931E-2</v>
      </c>
      <c r="C77" s="25">
        <v>183</v>
      </c>
      <c r="D77" s="26">
        <v>4.6999999999999931E-2</v>
      </c>
      <c r="E77" s="3"/>
      <c r="F77" s="8"/>
      <c r="I77" s="15">
        <v>1.6410000000000018</v>
      </c>
      <c r="J77" s="14">
        <v>193</v>
      </c>
      <c r="K77" s="4">
        <v>170</v>
      </c>
      <c r="L77" s="3">
        <v>166</v>
      </c>
      <c r="M77" s="14">
        <f t="shared" si="11"/>
        <v>5.4644808743169397E-2</v>
      </c>
      <c r="N77" s="8">
        <f t="shared" si="12"/>
        <v>0.13529411764705881</v>
      </c>
      <c r="O77" s="67">
        <v>1.6410000000000018</v>
      </c>
      <c r="P77" s="34">
        <v>193</v>
      </c>
      <c r="Q77" s="34">
        <v>170</v>
      </c>
      <c r="R77" s="35">
        <v>166</v>
      </c>
      <c r="S77" s="34">
        <v>5.4644808743169397E-2</v>
      </c>
      <c r="T77" s="46">
        <v>0.13529411764705881</v>
      </c>
      <c r="U77" s="52">
        <f t="shared" si="20"/>
        <v>0.16265060240963855</v>
      </c>
    </row>
    <row r="78" spans="1:32" x14ac:dyDescent="0.3">
      <c r="A78" s="7">
        <v>171</v>
      </c>
      <c r="B78" s="4">
        <v>0.20300000000000007</v>
      </c>
      <c r="C78" s="25">
        <v>171</v>
      </c>
      <c r="D78" s="26">
        <v>0.20300000000000007</v>
      </c>
      <c r="E78" s="3"/>
      <c r="F78" s="8"/>
      <c r="I78" s="15">
        <v>1.6400000000000006</v>
      </c>
      <c r="J78" s="14">
        <v>211</v>
      </c>
      <c r="K78" s="4">
        <v>147</v>
      </c>
      <c r="L78" s="3">
        <v>128</v>
      </c>
      <c r="M78" s="14">
        <f t="shared" si="11"/>
        <v>0.23391812865497075</v>
      </c>
      <c r="N78" s="8">
        <f t="shared" si="12"/>
        <v>0.43537414965986393</v>
      </c>
      <c r="O78" s="67">
        <v>1.6400000000000006</v>
      </c>
      <c r="P78" s="34">
        <v>211</v>
      </c>
      <c r="Q78" s="34">
        <v>147</v>
      </c>
      <c r="R78" s="35">
        <v>128</v>
      </c>
      <c r="S78" s="34">
        <v>0.23391812865497075</v>
      </c>
      <c r="T78" s="46">
        <v>0.43537414965986393</v>
      </c>
      <c r="U78" s="52">
        <f t="shared" si="20"/>
        <v>0.6484375</v>
      </c>
    </row>
    <row r="79" spans="1:32" x14ac:dyDescent="0.3">
      <c r="A79" s="7">
        <v>144</v>
      </c>
      <c r="B79" s="4">
        <v>6.2999999999999945E-2</v>
      </c>
      <c r="C79" s="25">
        <v>144</v>
      </c>
      <c r="D79" s="26">
        <v>6.2999999999999945E-2</v>
      </c>
      <c r="E79" s="3"/>
      <c r="F79" s="8"/>
      <c r="I79" s="15">
        <v>1.6879999999999988</v>
      </c>
      <c r="J79" s="14">
        <v>156</v>
      </c>
      <c r="K79" s="4">
        <v>136</v>
      </c>
      <c r="L79" s="3">
        <v>128</v>
      </c>
      <c r="M79" s="14">
        <f t="shared" si="11"/>
        <v>8.3333333333333329E-2</v>
      </c>
      <c r="N79" s="8">
        <f t="shared" si="12"/>
        <v>0.14705882352941177</v>
      </c>
      <c r="O79" s="67">
        <v>1.6879999999999988</v>
      </c>
      <c r="P79" s="34">
        <v>156</v>
      </c>
      <c r="Q79" s="34">
        <v>136</v>
      </c>
      <c r="R79" s="35">
        <v>128</v>
      </c>
      <c r="S79" s="34">
        <v>8.3333333333333329E-2</v>
      </c>
      <c r="T79" s="46">
        <v>0.14705882352941177</v>
      </c>
      <c r="U79" s="52">
        <f t="shared" si="20"/>
        <v>0.21875</v>
      </c>
    </row>
    <row r="80" spans="1:32" x14ac:dyDescent="0.3">
      <c r="A80" s="7">
        <v>165</v>
      </c>
      <c r="B80" s="4">
        <v>6.3000000000000167E-2</v>
      </c>
      <c r="C80" s="25">
        <v>165</v>
      </c>
      <c r="D80" s="26">
        <v>6.3000000000000167E-2</v>
      </c>
      <c r="E80" s="3"/>
      <c r="F80" s="8"/>
      <c r="I80" s="15">
        <v>1.6089999999999982</v>
      </c>
      <c r="J80" s="14">
        <v>180</v>
      </c>
      <c r="K80" s="4">
        <v>154</v>
      </c>
      <c r="L80" s="3">
        <v>143</v>
      </c>
      <c r="M80" s="14">
        <f t="shared" si="11"/>
        <v>9.0909090909090912E-2</v>
      </c>
      <c r="N80" s="8">
        <f t="shared" si="12"/>
        <v>0.16883116883116883</v>
      </c>
      <c r="O80" s="67">
        <v>1.6089999999999982</v>
      </c>
      <c r="P80" s="34">
        <v>180</v>
      </c>
      <c r="Q80" s="34">
        <v>154</v>
      </c>
      <c r="R80" s="35">
        <v>143</v>
      </c>
      <c r="S80" s="34">
        <v>9.0909090909090912E-2</v>
      </c>
      <c r="T80" s="46">
        <v>0.16883116883116883</v>
      </c>
      <c r="U80" s="52">
        <f t="shared" si="20"/>
        <v>0.25874125874125875</v>
      </c>
    </row>
    <row r="81" spans="1:37" x14ac:dyDescent="0.3">
      <c r="A81" s="7">
        <v>195</v>
      </c>
      <c r="B81" s="4">
        <v>0.17199999999999971</v>
      </c>
      <c r="C81" s="25">
        <v>195</v>
      </c>
      <c r="D81" s="26">
        <v>0.17199999999999971</v>
      </c>
      <c r="E81" s="3"/>
      <c r="F81" s="8"/>
      <c r="I81" s="15">
        <v>1.6720000000000041</v>
      </c>
      <c r="J81" s="14">
        <v>198</v>
      </c>
      <c r="K81" s="4">
        <v>194</v>
      </c>
      <c r="L81" s="3">
        <v>147</v>
      </c>
      <c r="M81" s="14">
        <f t="shared" si="11"/>
        <v>1.5384615384615385E-2</v>
      </c>
      <c r="N81" s="8">
        <f t="shared" si="12"/>
        <v>2.0618556701030927E-2</v>
      </c>
      <c r="O81" s="67">
        <v>1.6720000000000041</v>
      </c>
      <c r="P81" s="34">
        <v>198</v>
      </c>
      <c r="Q81" s="34">
        <v>194</v>
      </c>
      <c r="R81" s="35">
        <v>147</v>
      </c>
      <c r="S81" s="34">
        <v>1.5384615384615385E-2</v>
      </c>
      <c r="T81" s="46">
        <v>2.0618556701030927E-2</v>
      </c>
      <c r="U81" s="52">
        <f>(P81-R81)/R81</f>
        <v>0.34693877551020408</v>
      </c>
    </row>
    <row r="82" spans="1:37" x14ac:dyDescent="0.3">
      <c r="A82" s="7">
        <v>159</v>
      </c>
      <c r="B82" s="4">
        <v>4.7000000000000153E-2</v>
      </c>
      <c r="C82" s="25">
        <v>159</v>
      </c>
      <c r="D82" s="26">
        <v>4.7000000000000153E-2</v>
      </c>
      <c r="E82" s="3"/>
      <c r="F82" s="8"/>
      <c r="I82" s="15">
        <v>1.671999999999997</v>
      </c>
      <c r="J82" s="14">
        <v>174</v>
      </c>
      <c r="K82" s="4">
        <v>144</v>
      </c>
      <c r="L82" s="3">
        <v>133</v>
      </c>
      <c r="M82" s="14">
        <f t="shared" si="11"/>
        <v>9.4339622641509441E-2</v>
      </c>
      <c r="N82" s="8">
        <f t="shared" si="12"/>
        <v>0.20833333333333334</v>
      </c>
      <c r="O82" s="67">
        <v>1.671999999999997</v>
      </c>
      <c r="P82" s="34">
        <v>174</v>
      </c>
      <c r="Q82" s="34">
        <v>144</v>
      </c>
      <c r="R82" s="35">
        <v>133</v>
      </c>
      <c r="S82" s="34">
        <v>9.4339622641509441E-2</v>
      </c>
      <c r="T82" s="46">
        <v>0.20833333333333334</v>
      </c>
      <c r="U82" s="52">
        <f>(P82-R82)/R82</f>
        <v>0.30827067669172931</v>
      </c>
    </row>
    <row r="83" spans="1:37" x14ac:dyDescent="0.3">
      <c r="A83" s="7">
        <v>142</v>
      </c>
      <c r="B83" s="4">
        <v>7.7999999999999847E-2</v>
      </c>
      <c r="C83" s="25">
        <v>142</v>
      </c>
      <c r="D83" s="26">
        <v>7.7999999999999847E-2</v>
      </c>
      <c r="E83" s="3"/>
      <c r="F83" s="8"/>
      <c r="I83" s="15">
        <v>1.6409999999999982</v>
      </c>
      <c r="J83" s="14">
        <v>152</v>
      </c>
      <c r="K83" s="4">
        <v>141</v>
      </c>
      <c r="L83" s="3">
        <v>120</v>
      </c>
      <c r="M83" s="14">
        <f t="shared" si="11"/>
        <v>7.0422535211267609E-2</v>
      </c>
      <c r="N83" s="8">
        <f t="shared" si="12"/>
        <v>7.8014184397163122E-2</v>
      </c>
      <c r="O83" s="67">
        <v>1.6409999999999982</v>
      </c>
      <c r="P83" s="34">
        <v>152</v>
      </c>
      <c r="Q83" s="34">
        <v>141</v>
      </c>
      <c r="R83" s="35">
        <v>120</v>
      </c>
      <c r="S83" s="34">
        <v>7.0422535211267609E-2</v>
      </c>
      <c r="T83" s="46">
        <v>7.8014184397163122E-2</v>
      </c>
      <c r="U83" s="52">
        <f t="shared" ref="U83:U88" si="21">(P83-R83)/R83</f>
        <v>0.26666666666666666</v>
      </c>
    </row>
    <row r="84" spans="1:37" x14ac:dyDescent="0.3">
      <c r="A84" s="7">
        <v>181</v>
      </c>
      <c r="B84" s="4">
        <v>6.3000000000000167E-2</v>
      </c>
      <c r="C84" s="25">
        <v>181</v>
      </c>
      <c r="D84" s="26">
        <v>6.3000000000000167E-2</v>
      </c>
      <c r="E84" s="3"/>
      <c r="F84" s="8"/>
      <c r="I84" s="15">
        <v>1.6870000000000047</v>
      </c>
      <c r="J84" s="14">
        <v>198</v>
      </c>
      <c r="K84" s="4">
        <v>161</v>
      </c>
      <c r="L84" s="3">
        <v>147</v>
      </c>
      <c r="M84" s="14">
        <f t="shared" si="11"/>
        <v>9.3922651933701654E-2</v>
      </c>
      <c r="N84" s="8">
        <f t="shared" si="12"/>
        <v>0.22981366459627328</v>
      </c>
      <c r="O84" s="67">
        <v>1.6870000000000047</v>
      </c>
      <c r="P84" s="34">
        <v>198</v>
      </c>
      <c r="Q84" s="34">
        <v>161</v>
      </c>
      <c r="R84" s="35">
        <v>147</v>
      </c>
      <c r="S84" s="34">
        <v>9.3922651933701654E-2</v>
      </c>
      <c r="T84" s="46">
        <v>0.22981366459627328</v>
      </c>
      <c r="U84" s="52">
        <f t="shared" si="21"/>
        <v>0.34693877551020408</v>
      </c>
    </row>
    <row r="85" spans="1:37" x14ac:dyDescent="0.3">
      <c r="A85" s="7">
        <v>191</v>
      </c>
      <c r="B85" s="4">
        <v>0.10899999999999999</v>
      </c>
      <c r="C85" s="25">
        <v>191</v>
      </c>
      <c r="D85" s="26">
        <v>0.10899999999999999</v>
      </c>
      <c r="E85" s="3"/>
      <c r="F85" s="8"/>
      <c r="I85" s="15">
        <v>1.671999999999997</v>
      </c>
      <c r="J85" s="14">
        <v>208</v>
      </c>
      <c r="K85" s="4">
        <v>169</v>
      </c>
      <c r="L85" s="3">
        <v>156</v>
      </c>
      <c r="M85" s="14">
        <f t="shared" si="11"/>
        <v>8.9005235602094238E-2</v>
      </c>
      <c r="N85" s="8">
        <f t="shared" si="12"/>
        <v>0.23076923076923078</v>
      </c>
      <c r="O85" s="67">
        <v>1.671999999999997</v>
      </c>
      <c r="P85" s="34">
        <v>208</v>
      </c>
      <c r="Q85" s="34">
        <v>169</v>
      </c>
      <c r="R85" s="35">
        <v>156</v>
      </c>
      <c r="S85" s="34">
        <v>8.9005235602094238E-2</v>
      </c>
      <c r="T85" s="46">
        <v>0.23076923076923078</v>
      </c>
      <c r="U85" s="52">
        <f t="shared" si="21"/>
        <v>0.33333333333333331</v>
      </c>
    </row>
    <row r="86" spans="1:37" x14ac:dyDescent="0.3">
      <c r="A86" s="7">
        <v>154</v>
      </c>
      <c r="B86" s="4">
        <v>7.7999999999999847E-2</v>
      </c>
      <c r="C86" s="25">
        <v>154</v>
      </c>
      <c r="D86" s="26">
        <v>7.7999999999999847E-2</v>
      </c>
      <c r="E86" s="3"/>
      <c r="F86" s="8"/>
      <c r="I86" s="15">
        <v>1.6409999999999982</v>
      </c>
      <c r="J86" s="14">
        <v>169</v>
      </c>
      <c r="K86" s="4">
        <v>144</v>
      </c>
      <c r="L86" s="3">
        <v>126</v>
      </c>
      <c r="M86" s="14">
        <f t="shared" si="11"/>
        <v>9.7402597402597407E-2</v>
      </c>
      <c r="N86" s="8">
        <f t="shared" si="12"/>
        <v>0.1736111111111111</v>
      </c>
      <c r="O86" s="67">
        <v>1.6409999999999982</v>
      </c>
      <c r="P86" s="34">
        <v>169</v>
      </c>
      <c r="Q86" s="34">
        <v>144</v>
      </c>
      <c r="R86" s="35">
        <v>126</v>
      </c>
      <c r="S86" s="34">
        <v>9.7402597402597407E-2</v>
      </c>
      <c r="T86" s="46">
        <v>0.1736111111111111</v>
      </c>
      <c r="U86" s="52">
        <f t="shared" si="21"/>
        <v>0.34126984126984128</v>
      </c>
    </row>
    <row r="87" spans="1:37" x14ac:dyDescent="0.3">
      <c r="A87" s="7">
        <v>169</v>
      </c>
      <c r="B87" s="4">
        <v>4.7000000000000153E-2</v>
      </c>
      <c r="C87" s="25">
        <v>169</v>
      </c>
      <c r="D87" s="26">
        <v>4.7000000000000153E-2</v>
      </c>
      <c r="E87" s="3"/>
      <c r="F87" s="8"/>
      <c r="I87" s="15">
        <v>1.6709999999999994</v>
      </c>
      <c r="J87" s="14">
        <v>194</v>
      </c>
      <c r="K87" s="4">
        <v>158</v>
      </c>
      <c r="L87" s="3">
        <v>149</v>
      </c>
      <c r="M87" s="14">
        <f t="shared" si="11"/>
        <v>0.14792899408284024</v>
      </c>
      <c r="N87" s="8">
        <f t="shared" si="12"/>
        <v>0.22784810126582278</v>
      </c>
      <c r="O87" s="67">
        <v>1.6709999999999994</v>
      </c>
      <c r="P87" s="34">
        <v>194</v>
      </c>
      <c r="Q87" s="34">
        <v>158</v>
      </c>
      <c r="R87" s="35">
        <v>149</v>
      </c>
      <c r="S87" s="34">
        <v>0.14792899408284024</v>
      </c>
      <c r="T87" s="46">
        <v>0.22784810126582278</v>
      </c>
      <c r="U87" s="52">
        <f t="shared" si="21"/>
        <v>0.30201342281879195</v>
      </c>
    </row>
    <row r="88" spans="1:37" x14ac:dyDescent="0.3">
      <c r="A88" s="7">
        <v>175</v>
      </c>
      <c r="B88" s="4">
        <v>6.3000000000000167E-2</v>
      </c>
      <c r="C88" s="25">
        <v>175</v>
      </c>
      <c r="D88" s="26">
        <v>6.3000000000000167E-2</v>
      </c>
      <c r="E88" s="3"/>
      <c r="F88" s="8"/>
      <c r="I88" s="15">
        <v>1.7190000000000012</v>
      </c>
      <c r="J88" s="14">
        <v>200</v>
      </c>
      <c r="K88" s="4">
        <v>170</v>
      </c>
      <c r="L88" s="3">
        <v>140</v>
      </c>
      <c r="M88" s="14">
        <f t="shared" si="11"/>
        <v>0.14285714285714285</v>
      </c>
      <c r="N88" s="8">
        <f t="shared" si="12"/>
        <v>0.17647058823529413</v>
      </c>
      <c r="O88" s="67">
        <v>1.7190000000000012</v>
      </c>
      <c r="P88" s="34">
        <v>200</v>
      </c>
      <c r="Q88" s="34">
        <v>170</v>
      </c>
      <c r="R88" s="35">
        <v>140</v>
      </c>
      <c r="S88" s="34">
        <v>0.14285714285714285</v>
      </c>
      <c r="T88" s="46">
        <v>0.17647058823529413</v>
      </c>
      <c r="U88" s="52">
        <f t="shared" si="21"/>
        <v>0.42857142857142855</v>
      </c>
    </row>
    <row r="89" spans="1:37" x14ac:dyDescent="0.3">
      <c r="A89" s="7">
        <v>196</v>
      </c>
      <c r="B89" s="4">
        <v>0.26499999999999968</v>
      </c>
      <c r="C89" s="25">
        <v>196</v>
      </c>
      <c r="D89" s="26">
        <v>0.26499999999999968</v>
      </c>
      <c r="E89" s="3"/>
      <c r="F89" s="8"/>
      <c r="I89" s="15">
        <v>1.6559999999999988</v>
      </c>
      <c r="J89" s="14">
        <v>209</v>
      </c>
      <c r="K89" s="4">
        <v>184</v>
      </c>
      <c r="L89" s="3">
        <v>147</v>
      </c>
      <c r="M89" s="14">
        <f t="shared" si="11"/>
        <v>6.6326530612244902E-2</v>
      </c>
      <c r="N89" s="8">
        <f t="shared" si="12"/>
        <v>0.1358695652173913</v>
      </c>
      <c r="O89" s="67">
        <v>1.6559999999999988</v>
      </c>
      <c r="P89" s="34">
        <v>209</v>
      </c>
      <c r="Q89" s="34">
        <v>184</v>
      </c>
      <c r="R89" s="35">
        <v>147</v>
      </c>
      <c r="S89" s="34">
        <v>6.6326530612244902E-2</v>
      </c>
      <c r="T89" s="46">
        <v>0.1358695652173913</v>
      </c>
      <c r="U89" s="52">
        <f>(P89-R89)/R89</f>
        <v>0.42176870748299322</v>
      </c>
    </row>
    <row r="90" spans="1:37" x14ac:dyDescent="0.3">
      <c r="A90" s="7">
        <v>149</v>
      </c>
      <c r="B90" s="4">
        <v>6.2000000000000277E-2</v>
      </c>
      <c r="C90" s="25">
        <v>149</v>
      </c>
      <c r="D90" s="26">
        <v>6.2000000000000277E-2</v>
      </c>
      <c r="E90" s="3"/>
      <c r="F90" s="8"/>
      <c r="I90" s="15">
        <v>1.6720000000000041</v>
      </c>
      <c r="J90" s="14">
        <v>160</v>
      </c>
      <c r="K90" s="4">
        <v>138</v>
      </c>
      <c r="L90" s="3">
        <v>122</v>
      </c>
      <c r="M90" s="14">
        <f t="shared" si="11"/>
        <v>7.3825503355704702E-2</v>
      </c>
      <c r="N90" s="8">
        <f t="shared" si="12"/>
        <v>0.15942028985507245</v>
      </c>
      <c r="O90" s="67">
        <v>1.6720000000000041</v>
      </c>
      <c r="P90" s="34">
        <v>160</v>
      </c>
      <c r="Q90" s="34">
        <v>138</v>
      </c>
      <c r="R90" s="35">
        <v>122</v>
      </c>
      <c r="S90" s="34">
        <v>7.3825503355704702E-2</v>
      </c>
      <c r="T90" s="46">
        <v>0.15942028985507245</v>
      </c>
      <c r="U90" s="52">
        <f>(P90-R90)/R90</f>
        <v>0.31147540983606559</v>
      </c>
    </row>
    <row r="91" spans="1:37" ht="15" thickBot="1" x14ac:dyDescent="0.35">
      <c r="A91" s="9">
        <v>160</v>
      </c>
      <c r="B91" s="10">
        <v>0.10899999999999999</v>
      </c>
      <c r="C91" s="30">
        <v>160</v>
      </c>
      <c r="D91" s="31">
        <v>0.10899999999999999</v>
      </c>
      <c r="E91" s="11"/>
      <c r="F91" s="12"/>
      <c r="G91" s="21"/>
      <c r="H91" s="21"/>
      <c r="I91" s="16">
        <v>1.6879999999999953</v>
      </c>
      <c r="J91" s="17">
        <v>196</v>
      </c>
      <c r="K91" s="10">
        <v>144</v>
      </c>
      <c r="L91" s="11">
        <v>131</v>
      </c>
      <c r="M91" s="17">
        <f t="shared" si="11"/>
        <v>0.22500000000000001</v>
      </c>
      <c r="N91" s="12">
        <f t="shared" si="12"/>
        <v>0.3611111111111111</v>
      </c>
      <c r="O91" s="68">
        <v>1.6879999999999953</v>
      </c>
      <c r="P91" s="36">
        <v>196</v>
      </c>
      <c r="Q91" s="36">
        <v>144</v>
      </c>
      <c r="R91" s="37">
        <v>131</v>
      </c>
      <c r="S91" s="36">
        <v>0.22500000000000001</v>
      </c>
      <c r="T91" s="47">
        <v>0.3611111111111111</v>
      </c>
      <c r="U91" s="54">
        <f>(P91-R91)/R91</f>
        <v>0.49618320610687022</v>
      </c>
    </row>
    <row r="93" spans="1:37" x14ac:dyDescent="0.3">
      <c r="W93" s="44" t="s">
        <v>21</v>
      </c>
      <c r="X93">
        <v>0.05</v>
      </c>
    </row>
    <row r="94" spans="1:37" x14ac:dyDescent="0.3">
      <c r="A94">
        <f>AVERAGE(A62:A91)</f>
        <v>172.1</v>
      </c>
      <c r="D94">
        <f>AVERAGE(D62:D91)</f>
        <v>0.10453333333333334</v>
      </c>
      <c r="E94" t="s">
        <v>17</v>
      </c>
      <c r="I94">
        <f>AVERAGE(I62:I91)</f>
        <v>1.6474</v>
      </c>
      <c r="O94">
        <f>AVERAGE(O62:O91)</f>
        <v>1.6474</v>
      </c>
      <c r="P94" t="s">
        <v>17</v>
      </c>
      <c r="V94" t="s">
        <v>26</v>
      </c>
      <c r="W94" s="44" t="s">
        <v>19</v>
      </c>
      <c r="X94">
        <f>_xlfn.T.TEST(C62:C91,O62:O91,1,3)</f>
        <v>4.2956464517245888E-33</v>
      </c>
      <c r="Y94" s="121" t="s">
        <v>39</v>
      </c>
      <c r="Z94" s="121"/>
      <c r="AA94" s="121"/>
      <c r="AB94" s="121"/>
      <c r="AC94" s="121"/>
      <c r="AD94" t="s">
        <v>24</v>
      </c>
      <c r="AE94" s="121" t="s">
        <v>62</v>
      </c>
      <c r="AF94" s="121"/>
      <c r="AG94" s="121"/>
      <c r="AH94" s="121"/>
      <c r="AI94" s="121"/>
      <c r="AJ94" s="121"/>
      <c r="AK94" s="121"/>
    </row>
    <row r="95" spans="1:37" x14ac:dyDescent="0.3">
      <c r="D95">
        <f>_xlfn.STDEV.S(D62:D91)</f>
        <v>5.629033930303283E-2</v>
      </c>
      <c r="E95" s="44">
        <f>D95/D94</f>
        <v>0.53849176629176809</v>
      </c>
      <c r="O95">
        <f>_xlfn.STDEV.S(O62:O91)</f>
        <v>0.11729114967934905</v>
      </c>
      <c r="P95" s="44">
        <f>O95/O94</f>
        <v>7.1197735631509676E-2</v>
      </c>
      <c r="W95" s="44"/>
      <c r="Y95" s="121"/>
      <c r="Z95" s="121"/>
      <c r="AA95" s="121"/>
      <c r="AB95" s="121"/>
      <c r="AC95" s="121"/>
      <c r="AE95" s="121"/>
      <c r="AF95" s="121"/>
      <c r="AG95" s="121"/>
      <c r="AH95" s="121"/>
      <c r="AI95" s="121"/>
      <c r="AJ95" s="121"/>
      <c r="AK95" s="121"/>
    </row>
    <row r="120" spans="1:32" ht="15" thickBot="1" x14ac:dyDescent="0.35">
      <c r="A120" s="44" t="s">
        <v>37</v>
      </c>
      <c r="B120" s="44" t="s">
        <v>38</v>
      </c>
    </row>
    <row r="121" spans="1:32" x14ac:dyDescent="0.3">
      <c r="A121" s="118" t="s">
        <v>1</v>
      </c>
      <c r="B121" s="119"/>
      <c r="C121" s="119"/>
      <c r="D121" s="119"/>
      <c r="E121" s="119"/>
      <c r="F121" s="120"/>
      <c r="I121" s="27" t="s">
        <v>3</v>
      </c>
      <c r="J121" s="28"/>
      <c r="K121" s="28"/>
      <c r="L121" s="28"/>
      <c r="M121" s="28"/>
      <c r="N121" s="29"/>
      <c r="O121" s="22" t="s">
        <v>12</v>
      </c>
      <c r="P121" s="22"/>
      <c r="Q121" s="22"/>
      <c r="R121" s="22"/>
      <c r="S121" s="22"/>
      <c r="T121" s="22"/>
      <c r="U121" s="6"/>
    </row>
    <row r="122" spans="1:32" x14ac:dyDescent="0.3">
      <c r="A122" s="19" t="s">
        <v>11</v>
      </c>
      <c r="B122" s="2"/>
      <c r="C122" s="1" t="s">
        <v>12</v>
      </c>
      <c r="D122" s="2"/>
      <c r="E122" s="1"/>
      <c r="F122" s="18"/>
      <c r="I122" s="15" t="s">
        <v>4</v>
      </c>
      <c r="J122" s="14" t="s">
        <v>0</v>
      </c>
      <c r="K122" s="14" t="s">
        <v>7</v>
      </c>
      <c r="L122" s="3" t="s">
        <v>8</v>
      </c>
      <c r="M122" s="13" t="s">
        <v>9</v>
      </c>
      <c r="N122" s="48" t="s">
        <v>10</v>
      </c>
      <c r="O122" s="65" t="s">
        <v>4</v>
      </c>
      <c r="P122" s="48" t="s">
        <v>0</v>
      </c>
      <c r="Q122" s="48" t="s">
        <v>7</v>
      </c>
      <c r="R122" s="55" t="s">
        <v>8</v>
      </c>
      <c r="S122" s="48" t="s">
        <v>9</v>
      </c>
      <c r="T122" s="55" t="s">
        <v>10</v>
      </c>
      <c r="U122" s="69" t="s">
        <v>18</v>
      </c>
      <c r="W122" t="s">
        <v>15</v>
      </c>
      <c r="X122">
        <f>SQRT(29)</f>
        <v>5.3851648071345037</v>
      </c>
    </row>
    <row r="123" spans="1:32" ht="15" thickBot="1" x14ac:dyDescent="0.35">
      <c r="A123" s="19">
        <v>315</v>
      </c>
      <c r="B123" s="2">
        <v>271.04599999999999</v>
      </c>
      <c r="C123" s="23">
        <v>315</v>
      </c>
      <c r="D123" s="24">
        <v>271.04599999999999</v>
      </c>
      <c r="E123" s="1"/>
      <c r="F123" s="18"/>
      <c r="I123" s="20">
        <v>21.109000000000002</v>
      </c>
      <c r="J123" s="13">
        <v>386</v>
      </c>
      <c r="K123" s="2">
        <v>270</v>
      </c>
      <c r="L123" s="1">
        <v>241</v>
      </c>
      <c r="M123" s="13">
        <f>(J123-C123)/C123</f>
        <v>0.2253968253968254</v>
      </c>
      <c r="N123" s="8">
        <f>(J123-K123)/K123</f>
        <v>0.42962962962962964</v>
      </c>
      <c r="O123" s="66">
        <v>21.109000000000002</v>
      </c>
      <c r="P123" s="32">
        <v>386</v>
      </c>
      <c r="Q123" s="32">
        <v>270</v>
      </c>
      <c r="R123" s="33">
        <v>241</v>
      </c>
      <c r="S123" s="32">
        <v>0.2253968253968254</v>
      </c>
      <c r="T123" s="45">
        <v>0.42962962962962964</v>
      </c>
      <c r="U123" s="50">
        <f>(P123-R123)/R123</f>
        <v>0.60165975103734437</v>
      </c>
      <c r="Y123" t="s">
        <v>16</v>
      </c>
      <c r="Z123" t="s">
        <v>44</v>
      </c>
      <c r="AA123" t="s">
        <v>8</v>
      </c>
    </row>
    <row r="124" spans="1:32" x14ac:dyDescent="0.3">
      <c r="A124" s="7">
        <v>323</v>
      </c>
      <c r="B124" s="4">
        <v>18.656000000000006</v>
      </c>
      <c r="C124" s="25">
        <v>323</v>
      </c>
      <c r="D124" s="26">
        <v>18.656000000000006</v>
      </c>
      <c r="E124" s="3"/>
      <c r="F124" s="8"/>
      <c r="I124" s="15">
        <v>27.75</v>
      </c>
      <c r="J124" s="14">
        <v>414</v>
      </c>
      <c r="K124" s="4">
        <v>282</v>
      </c>
      <c r="L124" s="3">
        <v>256</v>
      </c>
      <c r="M124" s="14">
        <f>(J124-C124)/C124</f>
        <v>0.28173374613003094</v>
      </c>
      <c r="N124" s="8">
        <f>(J124-K124)/K124</f>
        <v>0.46808510638297873</v>
      </c>
      <c r="O124" s="67">
        <v>27.75</v>
      </c>
      <c r="P124" s="34">
        <v>414</v>
      </c>
      <c r="Q124" s="34">
        <v>282</v>
      </c>
      <c r="R124" s="35">
        <v>256</v>
      </c>
      <c r="S124" s="34">
        <v>0.28173374613003094</v>
      </c>
      <c r="T124" s="46">
        <v>0.46808510638297873</v>
      </c>
      <c r="U124" s="52">
        <f t="shared" ref="U124:U132" si="22">(P124-R124)/R124</f>
        <v>0.6171875</v>
      </c>
      <c r="W124" s="5">
        <v>0</v>
      </c>
      <c r="X124" s="22">
        <f t="shared" ref="X124:X129" si="23">W124+0.1</f>
        <v>0.1</v>
      </c>
      <c r="Y124" s="59">
        <f>COUNTIFS($S$123:$S$152,"&lt;"&amp;X124,$S$123:$S$152,"&gt;="&amp;W124)/$Y$131</f>
        <v>0</v>
      </c>
      <c r="Z124" s="56">
        <f>COUNTIFS($T$123:$T$152,"&lt;"&amp;X124,$T$123:$T$152,"&gt;="&amp;W124)/$Z$131</f>
        <v>0</v>
      </c>
      <c r="AA124" s="62">
        <f>COUNTIFS($U$123:$U$152,"&lt;"&amp;X124,$U$123:$U$152,"&gt;="&amp;W124)/$AA$131</f>
        <v>0</v>
      </c>
      <c r="AB124" s="6" t="str">
        <f>_xlfn.CONCAT(TEXT(W124,"0.00"),"-",TEXT(X124,"0.00"))</f>
        <v>0.00-0.10</v>
      </c>
    </row>
    <row r="125" spans="1:32" x14ac:dyDescent="0.3">
      <c r="A125" s="7">
        <v>291</v>
      </c>
      <c r="B125" s="4">
        <v>16.593000000000018</v>
      </c>
      <c r="C125" s="25">
        <v>291</v>
      </c>
      <c r="D125" s="26">
        <v>16.593000000000018</v>
      </c>
      <c r="E125" s="3"/>
      <c r="F125" s="8"/>
      <c r="I125" s="15">
        <v>22.937999999999995</v>
      </c>
      <c r="J125" s="14">
        <v>379</v>
      </c>
      <c r="K125" s="4">
        <v>261</v>
      </c>
      <c r="L125" s="3">
        <v>240</v>
      </c>
      <c r="M125" s="14">
        <f>(J125-C125)/C125</f>
        <v>0.30240549828178692</v>
      </c>
      <c r="N125" s="8">
        <f>(J125-K125)/K125</f>
        <v>0.45210727969348657</v>
      </c>
      <c r="O125" s="67">
        <v>22.937999999999995</v>
      </c>
      <c r="P125" s="34">
        <v>379</v>
      </c>
      <c r="Q125" s="34">
        <v>261</v>
      </c>
      <c r="R125" s="35">
        <v>240</v>
      </c>
      <c r="S125" s="34">
        <v>0.30240549828178692</v>
      </c>
      <c r="T125" s="46">
        <v>0.45210727969348657</v>
      </c>
      <c r="U125" s="52">
        <f t="shared" si="22"/>
        <v>0.57916666666666672</v>
      </c>
      <c r="W125" s="7">
        <f t="shared" ref="W125:W130" si="24">X124</f>
        <v>0.1</v>
      </c>
      <c r="X125">
        <f t="shared" si="23"/>
        <v>0.2</v>
      </c>
      <c r="Y125" s="60">
        <f t="shared" ref="Y125:Y130" si="25">COUNTIFS($S$123:$S$152,"&lt;"&amp;X125,$S$123:$S$152,"&gt;="&amp;W125)/$Y$131</f>
        <v>0.19230769230769232</v>
      </c>
      <c r="Z125" s="57">
        <f t="shared" ref="Z125:Z130" si="26">COUNTIFS($T$123:$T$152,"&lt;"&amp;X125,$T$123:$T$152,"&gt;="&amp;W125)/$Z$131</f>
        <v>0</v>
      </c>
      <c r="AA125" s="63">
        <f t="shared" ref="AA125:AA130" si="27">COUNTIFS($U$123:$U$152,"&lt;"&amp;X125,$U$123:$U$152,"&gt;="&amp;W125)/$AA$131</f>
        <v>0</v>
      </c>
      <c r="AB125" s="8" t="str">
        <f t="shared" ref="AB125:AB130" si="28">_xlfn.CONCAT(TEXT(W125,"0.00"),"-",TEXT(X125,"0.00"))</f>
        <v>0.10-0.20</v>
      </c>
    </row>
    <row r="126" spans="1:32" x14ac:dyDescent="0.3">
      <c r="A126" s="7">
        <v>322</v>
      </c>
      <c r="B126" s="4">
        <v>26.452999999999975</v>
      </c>
      <c r="C126" s="25">
        <v>322</v>
      </c>
      <c r="D126" s="26">
        <v>26.452999999999975</v>
      </c>
      <c r="E126" s="3"/>
      <c r="F126" s="8"/>
      <c r="I126" s="15">
        <v>27.296999999999997</v>
      </c>
      <c r="J126" s="14">
        <v>387</v>
      </c>
      <c r="K126" s="4">
        <v>280</v>
      </c>
      <c r="L126" s="3">
        <v>264</v>
      </c>
      <c r="M126" s="14">
        <f>(J126-C126)/C126</f>
        <v>0.20186335403726707</v>
      </c>
      <c r="N126" s="8">
        <f>(J126-K126)/K126</f>
        <v>0.38214285714285712</v>
      </c>
      <c r="O126" s="67">
        <v>27.296999999999997</v>
      </c>
      <c r="P126" s="34">
        <v>387</v>
      </c>
      <c r="Q126" s="34">
        <v>280</v>
      </c>
      <c r="R126" s="35">
        <v>264</v>
      </c>
      <c r="S126" s="34">
        <v>0.20186335403726707</v>
      </c>
      <c r="T126" s="46">
        <v>0.38214285714285712</v>
      </c>
      <c r="U126" s="52">
        <f t="shared" si="22"/>
        <v>0.46590909090909088</v>
      </c>
      <c r="W126" s="7">
        <f t="shared" si="24"/>
        <v>0.2</v>
      </c>
      <c r="X126">
        <f t="shared" si="23"/>
        <v>0.30000000000000004</v>
      </c>
      <c r="Y126" s="60">
        <f t="shared" si="25"/>
        <v>0.5</v>
      </c>
      <c r="Z126" s="57">
        <f t="shared" si="26"/>
        <v>0.19230769230769232</v>
      </c>
      <c r="AA126" s="63">
        <f t="shared" si="27"/>
        <v>3.8461538461538464E-2</v>
      </c>
      <c r="AB126" s="8" t="str">
        <f t="shared" si="28"/>
        <v>0.20-0.30</v>
      </c>
    </row>
    <row r="127" spans="1:32" x14ac:dyDescent="0.3">
      <c r="A127" s="7">
        <v>291</v>
      </c>
      <c r="B127" s="4">
        <v>728.59400000000005</v>
      </c>
      <c r="C127" s="25">
        <v>291</v>
      </c>
      <c r="D127" s="26">
        <v>728.59400000000005</v>
      </c>
      <c r="E127" s="3"/>
      <c r="F127" s="8"/>
      <c r="I127" s="15">
        <v>10.843</v>
      </c>
      <c r="J127" s="14">
        <v>382</v>
      </c>
      <c r="K127" s="4">
        <v>280</v>
      </c>
      <c r="L127" s="3">
        <v>263</v>
      </c>
      <c r="M127" s="14">
        <v>0.29491525423728815</v>
      </c>
      <c r="N127" s="8">
        <v>0.36428571428571427</v>
      </c>
      <c r="O127" s="67">
        <v>10.843</v>
      </c>
      <c r="P127" s="34">
        <v>382</v>
      </c>
      <c r="Q127" s="34">
        <v>280</v>
      </c>
      <c r="R127" s="35">
        <v>263</v>
      </c>
      <c r="S127" s="34">
        <v>0.29491525423728815</v>
      </c>
      <c r="T127" s="46">
        <v>0.36428571428571427</v>
      </c>
      <c r="U127" s="52">
        <f t="shared" si="22"/>
        <v>0.45247148288973382</v>
      </c>
      <c r="W127" s="7">
        <f t="shared" si="24"/>
        <v>0.30000000000000004</v>
      </c>
      <c r="X127">
        <f t="shared" si="23"/>
        <v>0.4</v>
      </c>
      <c r="Y127" s="60">
        <f t="shared" si="25"/>
        <v>0.23076923076923078</v>
      </c>
      <c r="Z127" s="57">
        <f t="shared" si="26"/>
        <v>0.42307692307692307</v>
      </c>
      <c r="AA127" s="63">
        <f t="shared" si="27"/>
        <v>3.8461538461538464E-2</v>
      </c>
      <c r="AB127" s="8" t="str">
        <f t="shared" si="28"/>
        <v>0.30-0.40</v>
      </c>
      <c r="AD127">
        <f>AVERAGE(S123:S152)</f>
        <v>0.27374309644401051</v>
      </c>
      <c r="AE127">
        <f>AVERAGE(T123:T152)</f>
        <v>0.37379434050537197</v>
      </c>
      <c r="AF127">
        <f>AVERAGE(U123:U152)</f>
        <v>0.56325801428356936</v>
      </c>
    </row>
    <row r="128" spans="1:32" x14ac:dyDescent="0.3">
      <c r="A128" s="7">
        <v>295</v>
      </c>
      <c r="B128" s="4">
        <v>8.8899999999998727</v>
      </c>
      <c r="C128" s="25">
        <v>295</v>
      </c>
      <c r="D128" s="26">
        <v>8.8899999999998727</v>
      </c>
      <c r="E128" s="3"/>
      <c r="F128" s="8"/>
      <c r="I128" s="15">
        <v>11.141000000000002</v>
      </c>
      <c r="J128" s="14">
        <v>372</v>
      </c>
      <c r="K128">
        <v>267</v>
      </c>
      <c r="L128" s="3">
        <v>242</v>
      </c>
      <c r="M128" s="14">
        <v>0.16614420062695925</v>
      </c>
      <c r="N128" s="8">
        <v>0.39325842696629215</v>
      </c>
      <c r="O128" s="67">
        <v>11.141000000000002</v>
      </c>
      <c r="P128" s="34">
        <v>372</v>
      </c>
      <c r="Q128" s="34">
        <v>267</v>
      </c>
      <c r="R128" s="35">
        <v>242</v>
      </c>
      <c r="S128" s="34">
        <v>0.16614420062695925</v>
      </c>
      <c r="T128" s="46">
        <v>0.39325842696629215</v>
      </c>
      <c r="U128" s="52">
        <f t="shared" si="22"/>
        <v>0.53719008264462809</v>
      </c>
      <c r="W128" s="7">
        <f t="shared" si="24"/>
        <v>0.4</v>
      </c>
      <c r="X128">
        <f t="shared" si="23"/>
        <v>0.5</v>
      </c>
      <c r="Y128" s="60">
        <f t="shared" si="25"/>
        <v>3.8461538461538464E-2</v>
      </c>
      <c r="Z128" s="57">
        <f t="shared" si="26"/>
        <v>0.34615384615384615</v>
      </c>
      <c r="AA128" s="63">
        <f t="shared" si="27"/>
        <v>0.23076923076923078</v>
      </c>
      <c r="AB128" s="8" t="str">
        <f t="shared" si="28"/>
        <v>0.40-0.50</v>
      </c>
    </row>
    <row r="129" spans="1:28" x14ac:dyDescent="0.3">
      <c r="A129" s="7">
        <v>319</v>
      </c>
      <c r="B129" s="4">
        <v>127.54700000000003</v>
      </c>
      <c r="C129" s="25">
        <v>319</v>
      </c>
      <c r="D129" s="26">
        <v>127.54700000000003</v>
      </c>
      <c r="E129" s="3"/>
      <c r="F129" s="8"/>
      <c r="I129" s="15">
        <v>17.796999999999997</v>
      </c>
      <c r="J129" s="14">
        <v>396</v>
      </c>
      <c r="K129">
        <v>306</v>
      </c>
      <c r="L129" s="3">
        <v>269</v>
      </c>
      <c r="M129" s="14">
        <v>0.31125827814569534</v>
      </c>
      <c r="N129" s="8">
        <v>0.29411764705882354</v>
      </c>
      <c r="O129" s="67">
        <v>17.796999999999997</v>
      </c>
      <c r="P129" s="34">
        <v>396</v>
      </c>
      <c r="Q129" s="34">
        <v>306</v>
      </c>
      <c r="R129" s="35">
        <v>269</v>
      </c>
      <c r="S129" s="34">
        <v>0.31125827814569534</v>
      </c>
      <c r="T129" s="46">
        <v>0.29411764705882354</v>
      </c>
      <c r="U129" s="52">
        <f t="shared" si="22"/>
        <v>0.47211895910780671</v>
      </c>
      <c r="W129" s="7">
        <f t="shared" si="24"/>
        <v>0.5</v>
      </c>
      <c r="X129">
        <f t="shared" si="23"/>
        <v>0.6</v>
      </c>
      <c r="Y129" s="60">
        <f t="shared" si="25"/>
        <v>3.8461538461538464E-2</v>
      </c>
      <c r="Z129" s="57">
        <f t="shared" si="26"/>
        <v>3.8461538461538464E-2</v>
      </c>
      <c r="AA129" s="63">
        <f t="shared" si="27"/>
        <v>0.30769230769230771</v>
      </c>
      <c r="AB129" s="8" t="str">
        <f t="shared" si="28"/>
        <v>0.50-0.60</v>
      </c>
    </row>
    <row r="130" spans="1:28" ht="15" thickBot="1" x14ac:dyDescent="0.35">
      <c r="A130" s="7">
        <v>302</v>
      </c>
      <c r="B130" s="4">
        <v>17</v>
      </c>
      <c r="C130" s="25">
        <v>302</v>
      </c>
      <c r="D130" s="26">
        <v>17</v>
      </c>
      <c r="E130" s="3"/>
      <c r="F130" s="8"/>
      <c r="I130" s="15">
        <v>22.359000000000002</v>
      </c>
      <c r="J130" s="14">
        <v>391</v>
      </c>
      <c r="K130">
        <v>295</v>
      </c>
      <c r="L130" s="3">
        <v>257</v>
      </c>
      <c r="M130" s="14">
        <v>0.22955974842767296</v>
      </c>
      <c r="N130" s="8">
        <v>0.3254237288135593</v>
      </c>
      <c r="O130" s="67">
        <v>22.359000000000002</v>
      </c>
      <c r="P130" s="34">
        <v>391</v>
      </c>
      <c r="Q130" s="34">
        <v>295</v>
      </c>
      <c r="R130" s="35">
        <v>257</v>
      </c>
      <c r="S130" s="34">
        <v>0.22955974842767296</v>
      </c>
      <c r="T130" s="46">
        <v>0.3254237288135593</v>
      </c>
      <c r="U130" s="52">
        <f t="shared" si="22"/>
        <v>0.52140077821011677</v>
      </c>
      <c r="W130" s="9">
        <f t="shared" si="24"/>
        <v>0.6</v>
      </c>
      <c r="X130" s="38">
        <f>1</f>
        <v>1</v>
      </c>
      <c r="Y130" s="61">
        <f t="shared" si="25"/>
        <v>0</v>
      </c>
      <c r="Z130" s="58">
        <f t="shared" si="26"/>
        <v>0</v>
      </c>
      <c r="AA130" s="64">
        <f t="shared" si="27"/>
        <v>0.38461538461538464</v>
      </c>
      <c r="AB130" s="12" t="str">
        <f t="shared" si="28"/>
        <v>0.60-1.00</v>
      </c>
    </row>
    <row r="131" spans="1:28" x14ac:dyDescent="0.3">
      <c r="A131" s="7">
        <v>318</v>
      </c>
      <c r="B131" s="4">
        <v>475.3130000000001</v>
      </c>
      <c r="C131" s="25">
        <v>318</v>
      </c>
      <c r="D131" s="26">
        <v>475.3130000000001</v>
      </c>
      <c r="E131" s="3"/>
      <c r="F131" s="8"/>
      <c r="I131" s="15">
        <v>18.766000000000005</v>
      </c>
      <c r="J131" s="14">
        <v>384</v>
      </c>
      <c r="K131">
        <v>306</v>
      </c>
      <c r="L131" s="3">
        <v>251</v>
      </c>
      <c r="M131" s="14">
        <v>0.23870967741935484</v>
      </c>
      <c r="N131" s="8">
        <v>0.25490196078431371</v>
      </c>
      <c r="O131" s="67">
        <v>18.766000000000005</v>
      </c>
      <c r="P131" s="34">
        <v>384</v>
      </c>
      <c r="Q131" s="34">
        <v>306</v>
      </c>
      <c r="R131" s="35">
        <v>251</v>
      </c>
      <c r="S131" s="34">
        <v>0.23870967741935484</v>
      </c>
      <c r="T131" s="46">
        <v>0.25490196078431371</v>
      </c>
      <c r="U131" s="52">
        <f t="shared" si="22"/>
        <v>0.52988047808764938</v>
      </c>
      <c r="Y131">
        <v>26</v>
      </c>
      <c r="Z131">
        <v>26</v>
      </c>
      <c r="AA131">
        <v>26</v>
      </c>
    </row>
    <row r="132" spans="1:28" x14ac:dyDescent="0.3">
      <c r="A132" s="7">
        <v>310</v>
      </c>
      <c r="B132" s="4">
        <v>19.219000000000051</v>
      </c>
      <c r="C132" s="25">
        <v>310</v>
      </c>
      <c r="D132" s="26">
        <v>19.219000000000051</v>
      </c>
      <c r="E132" s="3"/>
      <c r="F132" s="8"/>
      <c r="I132" s="15">
        <v>16.765000000000001</v>
      </c>
      <c r="J132" s="14">
        <v>361</v>
      </c>
      <c r="K132">
        <v>291</v>
      </c>
      <c r="L132" s="3">
        <v>280</v>
      </c>
      <c r="M132" s="14">
        <v>0.17207792207792208</v>
      </c>
      <c r="N132" s="8">
        <v>0.24054982817869416</v>
      </c>
      <c r="O132" s="67">
        <v>16.765000000000001</v>
      </c>
      <c r="P132" s="34">
        <v>361</v>
      </c>
      <c r="Q132" s="34">
        <v>291</v>
      </c>
      <c r="R132" s="35">
        <v>280</v>
      </c>
      <c r="S132" s="34">
        <v>0.17207792207792208</v>
      </c>
      <c r="T132" s="46">
        <v>0.24054982817869416</v>
      </c>
      <c r="U132" s="52">
        <f t="shared" si="22"/>
        <v>0.28928571428571431</v>
      </c>
      <c r="Y132">
        <f>SUM(Y124:Y130)</f>
        <v>1</v>
      </c>
      <c r="Z132">
        <f>SUM(Z124:Z130)</f>
        <v>1</v>
      </c>
      <c r="AA132">
        <f>SUM(AA124:AA130)</f>
        <v>1</v>
      </c>
    </row>
    <row r="133" spans="1:28" x14ac:dyDescent="0.3">
      <c r="A133" s="7">
        <v>308</v>
      </c>
      <c r="B133" s="4">
        <v>9.6879999999998745</v>
      </c>
      <c r="C133" s="25">
        <v>308</v>
      </c>
      <c r="D133" s="26">
        <v>9.6879999999998745</v>
      </c>
      <c r="E133" s="3"/>
      <c r="F133" s="8"/>
      <c r="I133" s="15">
        <v>15.812999999999988</v>
      </c>
      <c r="J133" s="14">
        <v>412</v>
      </c>
      <c r="K133">
        <v>278</v>
      </c>
      <c r="L133" s="3">
        <v>269</v>
      </c>
      <c r="M133" s="14">
        <v>0.24848484848484848</v>
      </c>
      <c r="N133" s="8">
        <v>0.48201438848920863</v>
      </c>
      <c r="O133" s="67">
        <v>15.812999999999988</v>
      </c>
      <c r="P133" s="34">
        <v>412</v>
      </c>
      <c r="Q133" s="34">
        <v>278</v>
      </c>
      <c r="R133" s="35">
        <v>269</v>
      </c>
      <c r="S133" s="34">
        <v>0.24848484848484848</v>
      </c>
      <c r="T133" s="46">
        <v>0.48201438848920863</v>
      </c>
      <c r="U133" s="52">
        <f>(P133-R133)/R133</f>
        <v>0.53159851301115246</v>
      </c>
    </row>
    <row r="134" spans="1:28" x14ac:dyDescent="0.3">
      <c r="A134" s="7">
        <v>330</v>
      </c>
      <c r="B134" s="4">
        <v>58.094000000000051</v>
      </c>
      <c r="C134" s="25">
        <v>330</v>
      </c>
      <c r="D134" s="26">
        <v>58.094000000000051</v>
      </c>
      <c r="E134" s="3"/>
      <c r="F134" s="8"/>
      <c r="I134" s="15">
        <v>18.250000000000014</v>
      </c>
      <c r="J134" s="14">
        <v>421</v>
      </c>
      <c r="K134">
        <v>314</v>
      </c>
      <c r="L134" s="3">
        <v>248</v>
      </c>
      <c r="M134" s="14">
        <v>0.38943894389438943</v>
      </c>
      <c r="N134" s="8">
        <v>0.34076433121019106</v>
      </c>
      <c r="O134" s="67">
        <v>18.250000000000014</v>
      </c>
      <c r="P134" s="46">
        <v>421</v>
      </c>
      <c r="Q134" s="34">
        <v>314</v>
      </c>
      <c r="R134" s="35">
        <v>248</v>
      </c>
      <c r="S134" s="34">
        <v>0.38943894389438943</v>
      </c>
      <c r="T134" s="46">
        <v>0.34076433121019106</v>
      </c>
      <c r="U134" s="52">
        <f>(P134-R134)/R134</f>
        <v>0.69758064516129037</v>
      </c>
    </row>
    <row r="135" spans="1:28" x14ac:dyDescent="0.3">
      <c r="A135" s="7">
        <v>303</v>
      </c>
      <c r="B135" s="4">
        <v>7.0779999999999745</v>
      </c>
      <c r="C135" s="25"/>
      <c r="D135" s="26"/>
      <c r="E135" s="3"/>
      <c r="F135" s="8"/>
      <c r="I135" s="15">
        <v>20.85899999999998</v>
      </c>
      <c r="J135" s="14">
        <v>428</v>
      </c>
      <c r="K135">
        <v>277</v>
      </c>
      <c r="L135" s="3">
        <v>267</v>
      </c>
      <c r="M135" s="14">
        <v>0.28143712574850299</v>
      </c>
      <c r="N135" s="8">
        <v>0.54512635379061369</v>
      </c>
      <c r="O135" s="67"/>
      <c r="P135" s="34"/>
      <c r="Q135" s="34"/>
      <c r="R135" s="35"/>
      <c r="S135" s="34"/>
      <c r="T135" s="46"/>
      <c r="U135" s="52"/>
    </row>
    <row r="136" spans="1:28" x14ac:dyDescent="0.3">
      <c r="A136" s="7">
        <v>334</v>
      </c>
      <c r="B136" s="4">
        <v>1002.0940000000001</v>
      </c>
      <c r="C136" s="25"/>
      <c r="D136" s="26"/>
      <c r="E136" s="3"/>
      <c r="F136" s="8"/>
      <c r="I136" s="15">
        <v>20.532000000000011</v>
      </c>
      <c r="J136" s="14">
        <v>430</v>
      </c>
      <c r="K136">
        <v>292</v>
      </c>
      <c r="L136" s="3">
        <v>244</v>
      </c>
      <c r="M136" s="14">
        <v>0.27596439169139464</v>
      </c>
      <c r="N136" s="8">
        <v>0.4726027397260274</v>
      </c>
      <c r="O136" s="67"/>
      <c r="P136" s="34"/>
      <c r="Q136" s="34"/>
      <c r="R136" s="35"/>
      <c r="S136" s="34"/>
      <c r="T136" s="46"/>
      <c r="U136" s="52"/>
    </row>
    <row r="137" spans="1:28" x14ac:dyDescent="0.3">
      <c r="A137" s="7">
        <v>337</v>
      </c>
      <c r="B137" s="4">
        <v>109.79700000000003</v>
      </c>
      <c r="C137" s="25">
        <v>337</v>
      </c>
      <c r="D137" s="26">
        <v>109.79700000000003</v>
      </c>
      <c r="E137" s="3"/>
      <c r="F137" s="8"/>
      <c r="I137" s="15">
        <v>19.578000000000003</v>
      </c>
      <c r="J137" s="14">
        <v>433</v>
      </c>
      <c r="K137">
        <v>298</v>
      </c>
      <c r="L137" s="3">
        <v>259</v>
      </c>
      <c r="M137" s="14">
        <v>0.51398601398601396</v>
      </c>
      <c r="N137" s="8">
        <v>0.45302013422818793</v>
      </c>
      <c r="O137" s="67">
        <v>19.578000000000003</v>
      </c>
      <c r="P137" s="34">
        <v>433</v>
      </c>
      <c r="Q137" s="34">
        <v>298</v>
      </c>
      <c r="R137" s="35">
        <v>259</v>
      </c>
      <c r="S137" s="34">
        <v>0.51398601398601396</v>
      </c>
      <c r="T137" s="46">
        <v>0.45302013422818793</v>
      </c>
      <c r="U137" s="52">
        <f>(P137-R137)/R137</f>
        <v>0.6718146718146718</v>
      </c>
    </row>
    <row r="138" spans="1:28" x14ac:dyDescent="0.3">
      <c r="A138" s="7">
        <v>286</v>
      </c>
      <c r="B138" s="4">
        <v>219</v>
      </c>
      <c r="C138" s="25">
        <v>286</v>
      </c>
      <c r="D138" s="26">
        <v>219</v>
      </c>
      <c r="E138" s="3"/>
      <c r="F138" s="8"/>
      <c r="I138" s="15">
        <v>20.014999999999986</v>
      </c>
      <c r="J138" s="14">
        <v>346</v>
      </c>
      <c r="K138">
        <v>253</v>
      </c>
      <c r="L138" s="3">
        <v>231</v>
      </c>
      <c r="M138" s="14">
        <v>0.2013888888888889</v>
      </c>
      <c r="N138" s="8">
        <v>0.3675889328063241</v>
      </c>
      <c r="O138" s="67">
        <v>20.014999999999986</v>
      </c>
      <c r="P138" s="34">
        <v>346</v>
      </c>
      <c r="Q138" s="34">
        <v>253</v>
      </c>
      <c r="R138" s="35">
        <v>231</v>
      </c>
      <c r="S138" s="34">
        <v>0.2013888888888889</v>
      </c>
      <c r="T138" s="46">
        <v>0.3675889328063241</v>
      </c>
      <c r="U138" s="52">
        <f>(P138-R138)/R138</f>
        <v>0.49783549783549785</v>
      </c>
    </row>
    <row r="139" spans="1:28" x14ac:dyDescent="0.3">
      <c r="A139" s="7">
        <v>288</v>
      </c>
      <c r="B139" s="4">
        <v>39.360000000000127</v>
      </c>
      <c r="C139" s="25">
        <v>288</v>
      </c>
      <c r="D139" s="26">
        <v>39.360000000000127</v>
      </c>
      <c r="E139" s="3"/>
      <c r="F139" s="8"/>
      <c r="I139" s="15">
        <v>18.921999999999997</v>
      </c>
      <c r="J139" s="14">
        <v>374</v>
      </c>
      <c r="K139">
        <v>266</v>
      </c>
      <c r="L139" s="3">
        <v>258</v>
      </c>
      <c r="M139" s="14">
        <v>0.25925925925925924</v>
      </c>
      <c r="N139" s="8">
        <v>0.40601503759398494</v>
      </c>
      <c r="O139" s="67">
        <v>18.921999999999997</v>
      </c>
      <c r="P139" s="34">
        <v>374</v>
      </c>
      <c r="Q139" s="34">
        <v>266</v>
      </c>
      <c r="R139" s="35">
        <v>258</v>
      </c>
      <c r="S139" s="34">
        <v>0.25925925925925924</v>
      </c>
      <c r="T139" s="46">
        <v>0.40601503759398494</v>
      </c>
      <c r="U139" s="52">
        <f>(P139-R139)/R139</f>
        <v>0.44961240310077522</v>
      </c>
    </row>
    <row r="140" spans="1:28" x14ac:dyDescent="0.3">
      <c r="A140" s="7">
        <v>297</v>
      </c>
      <c r="B140" s="4">
        <v>11.983999999999924</v>
      </c>
      <c r="C140" s="25">
        <v>297</v>
      </c>
      <c r="D140" s="26">
        <v>11.983999999999924</v>
      </c>
      <c r="E140" s="3"/>
      <c r="F140" s="8"/>
      <c r="I140" s="15">
        <v>19.875</v>
      </c>
      <c r="J140" s="14">
        <v>376</v>
      </c>
      <c r="K140">
        <v>275</v>
      </c>
      <c r="L140" s="3">
        <v>258</v>
      </c>
      <c r="M140" s="14">
        <v>0.17133956386292834</v>
      </c>
      <c r="N140" s="8">
        <v>0.36727272727272725</v>
      </c>
      <c r="O140" s="67">
        <v>19.875</v>
      </c>
      <c r="P140" s="34">
        <v>376</v>
      </c>
      <c r="Q140" s="34">
        <v>275</v>
      </c>
      <c r="R140" s="35">
        <v>258</v>
      </c>
      <c r="S140" s="34">
        <v>0.17133956386292834</v>
      </c>
      <c r="T140" s="46">
        <v>0.36727272727272725</v>
      </c>
      <c r="U140" s="52">
        <f>(P140-R140)/R140</f>
        <v>0.4573643410852713</v>
      </c>
    </row>
    <row r="141" spans="1:28" x14ac:dyDescent="0.3">
      <c r="A141" s="7">
        <v>321</v>
      </c>
      <c r="B141" s="4">
        <v>63.594000000000051</v>
      </c>
      <c r="C141" s="25">
        <v>321</v>
      </c>
      <c r="D141" s="26">
        <v>63.594000000000051</v>
      </c>
      <c r="E141" s="3"/>
      <c r="F141" s="8"/>
      <c r="I141" s="15">
        <v>19.578000000000031</v>
      </c>
      <c r="J141" s="14">
        <v>432</v>
      </c>
      <c r="K141">
        <v>303</v>
      </c>
      <c r="L141" s="3">
        <v>244</v>
      </c>
      <c r="M141" s="14">
        <v>0.43046357615894038</v>
      </c>
      <c r="N141" s="8">
        <v>0.42574257425742573</v>
      </c>
      <c r="O141" s="67">
        <v>19.578000000000031</v>
      </c>
      <c r="P141" s="34">
        <v>432</v>
      </c>
      <c r="Q141" s="34">
        <v>303</v>
      </c>
      <c r="R141" s="35">
        <v>244</v>
      </c>
      <c r="S141" s="34">
        <v>0.43046357615894038</v>
      </c>
      <c r="T141" s="46">
        <v>0.42574257425742573</v>
      </c>
      <c r="U141" s="52">
        <f>(P141-R141)/R141</f>
        <v>0.77049180327868849</v>
      </c>
    </row>
    <row r="142" spans="1:28" x14ac:dyDescent="0.3">
      <c r="A142" s="7">
        <v>302</v>
      </c>
      <c r="B142" s="4">
        <v>8.14</v>
      </c>
      <c r="C142" s="25"/>
      <c r="D142" s="26"/>
      <c r="E142" s="3"/>
      <c r="F142" s="8"/>
      <c r="I142" s="15">
        <v>13.25</v>
      </c>
      <c r="J142" s="14">
        <v>385</v>
      </c>
      <c r="K142">
        <v>266</v>
      </c>
      <c r="L142" s="3">
        <v>265</v>
      </c>
      <c r="M142" s="14">
        <v>0.43046357615894038</v>
      </c>
      <c r="N142" s="8">
        <v>0.42574257425742573</v>
      </c>
      <c r="O142" s="67"/>
      <c r="P142" s="34"/>
      <c r="Q142" s="34"/>
      <c r="R142" s="35"/>
      <c r="S142" s="34"/>
      <c r="T142" s="46"/>
      <c r="U142" s="52"/>
    </row>
    <row r="143" spans="1:28" x14ac:dyDescent="0.3">
      <c r="A143" s="7">
        <v>317</v>
      </c>
      <c r="B143" s="4">
        <v>15.4</v>
      </c>
      <c r="C143" s="25">
        <v>317</v>
      </c>
      <c r="D143" s="26">
        <v>15.4</v>
      </c>
      <c r="E143" s="3"/>
      <c r="F143" s="8"/>
      <c r="I143" s="15">
        <v>15</v>
      </c>
      <c r="J143" s="14">
        <v>408</v>
      </c>
      <c r="K143" s="4">
        <v>307</v>
      </c>
      <c r="L143" s="3">
        <v>243</v>
      </c>
      <c r="M143" s="14">
        <f t="shared" ref="M143:M152" si="29">(J143-C143)/C143</f>
        <v>0.28706624605678233</v>
      </c>
      <c r="N143" s="8">
        <f t="shared" ref="N143:N152" si="30">(J143-K143)/K143</f>
        <v>0.3289902280130293</v>
      </c>
      <c r="O143" s="67">
        <v>15</v>
      </c>
      <c r="P143" s="34">
        <v>408</v>
      </c>
      <c r="Q143" s="34">
        <v>307</v>
      </c>
      <c r="R143" s="35">
        <v>243</v>
      </c>
      <c r="S143" s="34">
        <v>0.28706624605678233</v>
      </c>
      <c r="T143" s="46">
        <v>0.3289902280130293</v>
      </c>
      <c r="U143" s="52">
        <f t="shared" ref="U143:U148" si="31">(P143-R143)/R143</f>
        <v>0.67901234567901236</v>
      </c>
    </row>
    <row r="144" spans="1:28" x14ac:dyDescent="0.3">
      <c r="A144" s="7">
        <v>325</v>
      </c>
      <c r="B144" s="4">
        <v>13.718000000000002</v>
      </c>
      <c r="C144" s="25">
        <v>325</v>
      </c>
      <c r="D144" s="26">
        <v>13.718000000000002</v>
      </c>
      <c r="E144" s="3"/>
      <c r="F144" s="8"/>
      <c r="I144" s="15">
        <v>14.438000000000002</v>
      </c>
      <c r="J144" s="14">
        <v>386</v>
      </c>
      <c r="K144" s="4">
        <v>319</v>
      </c>
      <c r="L144" s="3">
        <v>250</v>
      </c>
      <c r="M144" s="14">
        <f t="shared" si="29"/>
        <v>0.18769230769230769</v>
      </c>
      <c r="N144" s="8">
        <f t="shared" si="30"/>
        <v>0.21003134796238246</v>
      </c>
      <c r="O144" s="67">
        <v>14.438000000000002</v>
      </c>
      <c r="P144" s="34">
        <v>386</v>
      </c>
      <c r="Q144" s="34">
        <v>319</v>
      </c>
      <c r="R144" s="35">
        <v>250</v>
      </c>
      <c r="S144" s="34">
        <v>0.18769230769230769</v>
      </c>
      <c r="T144" s="46">
        <v>0.21003134796238246</v>
      </c>
      <c r="U144" s="52">
        <f t="shared" si="31"/>
        <v>0.54400000000000004</v>
      </c>
    </row>
    <row r="145" spans="1:37" x14ac:dyDescent="0.3">
      <c r="A145" s="7">
        <v>318</v>
      </c>
      <c r="B145" s="4">
        <v>33.170999999999992</v>
      </c>
      <c r="C145" s="25">
        <v>318</v>
      </c>
      <c r="D145" s="26">
        <v>33.170999999999992</v>
      </c>
      <c r="E145" s="3"/>
      <c r="F145" s="8"/>
      <c r="I145" s="15">
        <v>17.218999999999994</v>
      </c>
      <c r="J145" s="14">
        <v>431</v>
      </c>
      <c r="K145" s="4">
        <v>305</v>
      </c>
      <c r="L145" s="3">
        <v>256</v>
      </c>
      <c r="M145" s="14">
        <f t="shared" si="29"/>
        <v>0.35534591194968551</v>
      </c>
      <c r="N145" s="8">
        <f t="shared" si="30"/>
        <v>0.41311475409836068</v>
      </c>
      <c r="O145" s="67">
        <v>17.218999999999994</v>
      </c>
      <c r="P145" s="34">
        <v>431</v>
      </c>
      <c r="Q145" s="34">
        <v>305</v>
      </c>
      <c r="R145" s="35">
        <v>256</v>
      </c>
      <c r="S145" s="34">
        <v>0.35534591194968551</v>
      </c>
      <c r="T145" s="46">
        <v>0.41311475409836068</v>
      </c>
      <c r="U145" s="52">
        <f t="shared" si="31"/>
        <v>0.68359375</v>
      </c>
    </row>
    <row r="146" spans="1:37" x14ac:dyDescent="0.3">
      <c r="A146" s="7">
        <v>316</v>
      </c>
      <c r="B146" s="4">
        <v>181.20300000000003</v>
      </c>
      <c r="C146" s="25">
        <v>316</v>
      </c>
      <c r="D146" s="26">
        <v>181.20300000000003</v>
      </c>
      <c r="E146" s="3"/>
      <c r="F146" s="8"/>
      <c r="I146" s="15">
        <v>15.843000000000004</v>
      </c>
      <c r="J146" s="14">
        <v>429</v>
      </c>
      <c r="K146" s="4">
        <v>296</v>
      </c>
      <c r="L146" s="3">
        <v>235</v>
      </c>
      <c r="M146" s="14">
        <f t="shared" si="29"/>
        <v>0.35759493670886078</v>
      </c>
      <c r="N146" s="8">
        <f t="shared" si="30"/>
        <v>0.44932432432432434</v>
      </c>
      <c r="O146" s="67">
        <v>15.843000000000004</v>
      </c>
      <c r="P146" s="34">
        <v>429</v>
      </c>
      <c r="Q146" s="34">
        <v>296</v>
      </c>
      <c r="R146" s="35">
        <v>235</v>
      </c>
      <c r="S146" s="34">
        <v>0.35759493670886078</v>
      </c>
      <c r="T146" s="46">
        <v>0.44932432432432434</v>
      </c>
      <c r="U146" s="52">
        <f t="shared" si="31"/>
        <v>0.82553191489361699</v>
      </c>
    </row>
    <row r="147" spans="1:37" x14ac:dyDescent="0.3">
      <c r="A147" s="7">
        <v>297</v>
      </c>
      <c r="B147" s="4">
        <v>56.110000000000014</v>
      </c>
      <c r="C147" s="25">
        <v>297</v>
      </c>
      <c r="D147" s="26">
        <v>56.110000000000014</v>
      </c>
      <c r="E147" s="3"/>
      <c r="F147" s="8"/>
      <c r="I147" s="15">
        <v>16.156999999999996</v>
      </c>
      <c r="J147" s="14">
        <v>372</v>
      </c>
      <c r="K147" s="4">
        <v>286</v>
      </c>
      <c r="L147" s="3">
        <v>241</v>
      </c>
      <c r="M147" s="14">
        <f t="shared" si="29"/>
        <v>0.25252525252525254</v>
      </c>
      <c r="N147" s="8">
        <f t="shared" si="30"/>
        <v>0.30069930069930068</v>
      </c>
      <c r="O147" s="67">
        <v>16.156999999999996</v>
      </c>
      <c r="P147" s="34">
        <v>372</v>
      </c>
      <c r="Q147" s="34">
        <v>286</v>
      </c>
      <c r="R147" s="35">
        <v>241</v>
      </c>
      <c r="S147" s="34">
        <v>0.25252525252525254</v>
      </c>
      <c r="T147" s="46">
        <v>0.30069930069930068</v>
      </c>
      <c r="U147" s="52">
        <f t="shared" si="31"/>
        <v>0.54356846473029041</v>
      </c>
    </row>
    <row r="148" spans="1:37" x14ac:dyDescent="0.3">
      <c r="A148" s="7">
        <v>309</v>
      </c>
      <c r="B148" s="4">
        <v>59.921999999999969</v>
      </c>
      <c r="C148" s="25">
        <v>309</v>
      </c>
      <c r="D148" s="26">
        <v>59.921999999999969</v>
      </c>
      <c r="E148" s="3"/>
      <c r="F148" s="8"/>
      <c r="I148" s="15">
        <v>17.436999999999998</v>
      </c>
      <c r="J148" s="14">
        <v>414</v>
      </c>
      <c r="K148" s="4">
        <v>268</v>
      </c>
      <c r="L148" s="3">
        <v>248</v>
      </c>
      <c r="M148" s="14">
        <f t="shared" si="29"/>
        <v>0.33980582524271846</v>
      </c>
      <c r="N148" s="8">
        <f t="shared" si="30"/>
        <v>0.54477611940298509</v>
      </c>
      <c r="O148" s="67">
        <v>17.436999999999998</v>
      </c>
      <c r="P148" s="34">
        <v>414</v>
      </c>
      <c r="Q148" s="34">
        <v>268</v>
      </c>
      <c r="R148" s="35">
        <v>248</v>
      </c>
      <c r="S148" s="34">
        <v>0.33980582524271846</v>
      </c>
      <c r="T148" s="46">
        <v>0.54477611940298509</v>
      </c>
      <c r="U148" s="52">
        <f t="shared" si="31"/>
        <v>0.66935483870967738</v>
      </c>
    </row>
    <row r="149" spans="1:37" x14ac:dyDescent="0.3">
      <c r="A149" s="7">
        <v>325</v>
      </c>
      <c r="B149" s="4">
        <v>4873.3119999999999</v>
      </c>
      <c r="C149" s="25"/>
      <c r="D149" s="26"/>
      <c r="E149" s="3"/>
      <c r="F149" s="8"/>
      <c r="I149" s="15">
        <v>17.281000000000006</v>
      </c>
      <c r="J149" s="14">
        <v>430</v>
      </c>
      <c r="K149" s="4">
        <v>301</v>
      </c>
      <c r="L149" s="3">
        <v>264</v>
      </c>
      <c r="M149" s="14" t="e">
        <f t="shared" si="29"/>
        <v>#DIV/0!</v>
      </c>
      <c r="N149" s="8">
        <f t="shared" si="30"/>
        <v>0.42857142857142855</v>
      </c>
      <c r="O149" s="67"/>
      <c r="P149" s="34"/>
      <c r="Q149" s="34"/>
      <c r="R149" s="35"/>
      <c r="S149" s="34"/>
      <c r="T149" s="46"/>
      <c r="U149" s="52"/>
    </row>
    <row r="150" spans="1:37" x14ac:dyDescent="0.3">
      <c r="A150" s="7">
        <v>323</v>
      </c>
      <c r="B150" s="4">
        <v>78.25</v>
      </c>
      <c r="C150" s="25">
        <v>323</v>
      </c>
      <c r="D150" s="26">
        <v>78.25</v>
      </c>
      <c r="E150" s="3"/>
      <c r="F150" s="8"/>
      <c r="I150" s="15">
        <v>15.921999999999997</v>
      </c>
      <c r="J150" s="14">
        <v>408</v>
      </c>
      <c r="K150" s="4">
        <v>295</v>
      </c>
      <c r="L150" s="3">
        <v>261</v>
      </c>
      <c r="M150" s="14">
        <f t="shared" si="29"/>
        <v>0.26315789473684209</v>
      </c>
      <c r="N150" s="8">
        <f t="shared" si="30"/>
        <v>0.38305084745762713</v>
      </c>
      <c r="O150" s="67">
        <v>15.921999999999997</v>
      </c>
      <c r="P150" s="34">
        <v>408</v>
      </c>
      <c r="Q150" s="34">
        <v>295</v>
      </c>
      <c r="R150" s="35">
        <v>261</v>
      </c>
      <c r="S150" s="34">
        <v>0.26315789473684209</v>
      </c>
      <c r="T150" s="46">
        <v>0.38305084745762713</v>
      </c>
      <c r="U150" s="52">
        <f>(P150-R150)/R150</f>
        <v>0.56321839080459768</v>
      </c>
    </row>
    <row r="151" spans="1:37" x14ac:dyDescent="0.3">
      <c r="A151" s="7">
        <v>311</v>
      </c>
      <c r="B151" s="4">
        <v>32.671999999999571</v>
      </c>
      <c r="C151" s="25">
        <v>311</v>
      </c>
      <c r="D151" s="26">
        <v>32.671999999999571</v>
      </c>
      <c r="E151" s="3"/>
      <c r="F151" s="8"/>
      <c r="I151" s="15">
        <v>16.578000000000003</v>
      </c>
      <c r="J151" s="14">
        <v>369</v>
      </c>
      <c r="K151" s="4">
        <v>286</v>
      </c>
      <c r="L151" s="3">
        <v>276</v>
      </c>
      <c r="M151" s="14">
        <f t="shared" si="29"/>
        <v>0.18649517684887459</v>
      </c>
      <c r="N151" s="8">
        <f t="shared" si="30"/>
        <v>0.29020979020979021</v>
      </c>
      <c r="O151" s="67">
        <v>16.578000000000003</v>
      </c>
      <c r="P151" s="34">
        <v>369</v>
      </c>
      <c r="Q151" s="34">
        <v>286</v>
      </c>
      <c r="R151" s="35">
        <v>276</v>
      </c>
      <c r="S151" s="34">
        <v>0.18649517684887459</v>
      </c>
      <c r="T151" s="46">
        <v>0.29020979020979021</v>
      </c>
      <c r="U151" s="52">
        <f>(P151-R151)/R151</f>
        <v>0.33695652173913043</v>
      </c>
    </row>
    <row r="152" spans="1:37" ht="15" thickBot="1" x14ac:dyDescent="0.35">
      <c r="A152" s="9">
        <v>317</v>
      </c>
      <c r="B152" s="10">
        <v>51.891000000000531</v>
      </c>
      <c r="C152" s="30">
        <v>317</v>
      </c>
      <c r="D152" s="31">
        <v>51.891000000000531</v>
      </c>
      <c r="E152" s="11"/>
      <c r="F152" s="12"/>
      <c r="G152" s="21"/>
      <c r="H152" s="21"/>
      <c r="I152" s="16">
        <v>17.296999999999997</v>
      </c>
      <c r="J152" s="73">
        <v>396</v>
      </c>
      <c r="K152" s="10">
        <v>293</v>
      </c>
      <c r="L152" s="11">
        <v>239</v>
      </c>
      <c r="M152" s="17">
        <f t="shared" si="29"/>
        <v>0.24921135646687698</v>
      </c>
      <c r="N152" s="12">
        <f t="shared" si="30"/>
        <v>0.35153583617747441</v>
      </c>
      <c r="O152" s="68">
        <v>17.296999999999997</v>
      </c>
      <c r="P152" s="36">
        <v>396</v>
      </c>
      <c r="Q152" s="36">
        <v>293</v>
      </c>
      <c r="R152" s="37">
        <v>239</v>
      </c>
      <c r="S152" s="36">
        <v>0.24921135646687698</v>
      </c>
      <c r="T152" s="47">
        <v>0.35153583617747441</v>
      </c>
      <c r="U152" s="54">
        <f>(P152-R152)/R152</f>
        <v>0.65690376569037656</v>
      </c>
    </row>
    <row r="154" spans="1:37" x14ac:dyDescent="0.3">
      <c r="W154" s="44" t="s">
        <v>21</v>
      </c>
      <c r="X154">
        <v>0.05</v>
      </c>
    </row>
    <row r="155" spans="1:37" x14ac:dyDescent="0.3">
      <c r="A155">
        <f>AVERAGE(A123:A152)</f>
        <v>311.66666666666669</v>
      </c>
      <c r="D155">
        <f>AVERAGE(D123:D152)</f>
        <v>105.50634615384617</v>
      </c>
      <c r="E155" t="s">
        <v>17</v>
      </c>
      <c r="I155">
        <f>AVERAGE(I123:I152)</f>
        <v>18.220299999999998</v>
      </c>
      <c r="O155">
        <f>AVERAGE(O123:O152)</f>
        <v>18.257192307692307</v>
      </c>
      <c r="P155" t="s">
        <v>17</v>
      </c>
      <c r="V155" t="s">
        <v>26</v>
      </c>
      <c r="W155" s="44" t="s">
        <v>19</v>
      </c>
      <c r="X155">
        <f>_xlfn.T.TEST(C123:C152,O123:O152,1,3)</f>
        <v>2.493864909043291E-39</v>
      </c>
      <c r="Y155" s="121" t="s">
        <v>40</v>
      </c>
      <c r="Z155" s="121"/>
      <c r="AA155" s="121"/>
      <c r="AB155" s="121"/>
      <c r="AC155" s="121"/>
      <c r="AD155" t="s">
        <v>24</v>
      </c>
      <c r="AE155" s="121" t="s">
        <v>41</v>
      </c>
      <c r="AF155" s="121"/>
      <c r="AG155" s="121"/>
      <c r="AH155" s="121"/>
      <c r="AI155" s="121"/>
      <c r="AJ155" s="121"/>
      <c r="AK155" s="121"/>
    </row>
    <row r="156" spans="1:37" x14ac:dyDescent="0.3">
      <c r="D156">
        <f>_xlfn.STDEV.S(D123:D152)</f>
        <v>164.84533278705644</v>
      </c>
      <c r="E156" s="44">
        <f>D156/D155</f>
        <v>1.5624210182265619</v>
      </c>
      <c r="O156">
        <f>_xlfn.STDEV.S(O123:O152)</f>
        <v>3.944612579397174</v>
      </c>
      <c r="P156" s="44">
        <f>O156/O155</f>
        <v>0.21605800677989187</v>
      </c>
      <c r="W156" s="44"/>
      <c r="Y156" s="121"/>
      <c r="Z156" s="121"/>
      <c r="AA156" s="121"/>
      <c r="AB156" s="121"/>
      <c r="AC156" s="121"/>
      <c r="AE156" s="121"/>
      <c r="AF156" s="121"/>
      <c r="AG156" s="121"/>
      <c r="AH156" s="121"/>
      <c r="AI156" s="121"/>
      <c r="AJ156" s="121"/>
      <c r="AK156" s="121"/>
    </row>
    <row r="159" spans="1:37" x14ac:dyDescent="0.3">
      <c r="V159" t="s">
        <v>63</v>
      </c>
    </row>
    <row r="180" spans="1:4" x14ac:dyDescent="0.3">
      <c r="A180" s="44" t="s">
        <v>42</v>
      </c>
    </row>
    <row r="181" spans="1:4" x14ac:dyDescent="0.3">
      <c r="B181" t="s">
        <v>43</v>
      </c>
      <c r="C181" t="s">
        <v>44</v>
      </c>
      <c r="D181" t="s">
        <v>8</v>
      </c>
    </row>
    <row r="182" spans="1:4" x14ac:dyDescent="0.3">
      <c r="A182" t="s">
        <v>45</v>
      </c>
      <c r="B182">
        <v>0.11027205193232725</v>
      </c>
      <c r="C182">
        <v>0.20673585019658247</v>
      </c>
      <c r="D182">
        <v>0.35185129036196233</v>
      </c>
    </row>
    <row r="183" spans="1:4" x14ac:dyDescent="0.3">
      <c r="A183" t="s">
        <v>46</v>
      </c>
      <c r="B183">
        <v>0.24354091820449245</v>
      </c>
      <c r="C183">
        <v>0.36639738467618554</v>
      </c>
      <c r="D183">
        <v>0.52874865068341148</v>
      </c>
    </row>
    <row r="184" spans="1:4" x14ac:dyDescent="0.3">
      <c r="A184" t="s">
        <v>47</v>
      </c>
      <c r="B184">
        <v>0.27374309644401051</v>
      </c>
      <c r="C184">
        <v>0.37379434050537197</v>
      </c>
      <c r="D184">
        <v>0.56325801428356936</v>
      </c>
    </row>
    <row r="186" spans="1:4" x14ac:dyDescent="0.3">
      <c r="B186" t="s">
        <v>83</v>
      </c>
      <c r="C186" t="s">
        <v>82</v>
      </c>
    </row>
    <row r="187" spans="1:4" x14ac:dyDescent="0.3">
      <c r="A187" t="s">
        <v>45</v>
      </c>
      <c r="B187">
        <v>0.10453333333333334</v>
      </c>
      <c r="C187">
        <v>1.6474</v>
      </c>
      <c r="D187">
        <v>4.2956464517245888E-33</v>
      </c>
    </row>
    <row r="188" spans="1:4" x14ac:dyDescent="0.3">
      <c r="A188" t="s">
        <v>46</v>
      </c>
      <c r="B188">
        <v>12.285142857142858</v>
      </c>
      <c r="C188">
        <v>10.705928571428574</v>
      </c>
      <c r="D188">
        <v>0.18462429265642749</v>
      </c>
    </row>
    <row r="189" spans="1:4" x14ac:dyDescent="0.3">
      <c r="A189" t="s">
        <v>47</v>
      </c>
      <c r="B189">
        <v>105.50634615384617</v>
      </c>
      <c r="C189">
        <v>18.257192307692307</v>
      </c>
      <c r="D189">
        <v>2.493864909043291E-39</v>
      </c>
    </row>
  </sheetData>
  <mergeCells count="12">
    <mergeCell ref="Y155:AC155"/>
    <mergeCell ref="AE155:AK156"/>
    <mergeCell ref="Y156:AC156"/>
    <mergeCell ref="Y95:AC95"/>
    <mergeCell ref="Y94:AC94"/>
    <mergeCell ref="AE94:AK95"/>
    <mergeCell ref="A121:F121"/>
    <mergeCell ref="A2:F2"/>
    <mergeCell ref="Y36:AC36"/>
    <mergeCell ref="AE36:AK37"/>
    <mergeCell ref="Y37:AC37"/>
    <mergeCell ref="A60:F6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1320-BDA7-4B96-B707-206D1A751065}">
  <dimension ref="A1:AK189"/>
  <sheetViews>
    <sheetView topLeftCell="A9" zoomScale="55" zoomScaleNormal="55" workbookViewId="0">
      <selection activeCell="B182" sqref="B182:D184"/>
    </sheetView>
  </sheetViews>
  <sheetFormatPr defaultRowHeight="14.4" x14ac:dyDescent="0.3"/>
  <cols>
    <col min="1" max="1" width="9.109375" bestFit="1" customWidth="1"/>
    <col min="2" max="2" width="15.109375" customWidth="1"/>
    <col min="3" max="3" width="11.88671875" customWidth="1"/>
    <col min="4" max="4" width="14.109375" bestFit="1" customWidth="1"/>
    <col min="5" max="5" width="9.109375" bestFit="1" customWidth="1"/>
    <col min="9" max="21" width="9.109375" bestFit="1" customWidth="1"/>
    <col min="23" max="23" width="9" bestFit="1" customWidth="1"/>
    <col min="24" max="24" width="14.109375" bestFit="1" customWidth="1"/>
    <col min="25" max="27" width="9" bestFit="1" customWidth="1"/>
    <col min="30" max="30" width="12.21875" customWidth="1"/>
    <col min="31" max="32" width="9" bestFit="1" customWidth="1"/>
  </cols>
  <sheetData>
    <row r="1" spans="1:32" ht="15" thickBot="1" x14ac:dyDescent="0.35">
      <c r="A1" s="44" t="s">
        <v>33</v>
      </c>
      <c r="B1" s="44" t="s">
        <v>34</v>
      </c>
    </row>
    <row r="2" spans="1:32" x14ac:dyDescent="0.3">
      <c r="A2" s="118" t="s">
        <v>1</v>
      </c>
      <c r="B2" s="119"/>
      <c r="C2" s="119"/>
      <c r="D2" s="119"/>
      <c r="E2" s="119"/>
      <c r="F2" s="120"/>
      <c r="I2" s="27" t="s">
        <v>3</v>
      </c>
      <c r="J2" s="28"/>
      <c r="K2" s="28"/>
      <c r="L2" s="28"/>
      <c r="M2" s="28"/>
      <c r="N2" s="29"/>
      <c r="O2" s="5" t="s">
        <v>12</v>
      </c>
      <c r="P2" s="22"/>
      <c r="Q2" s="22"/>
      <c r="R2" s="22"/>
      <c r="S2" s="22"/>
      <c r="T2" s="22"/>
      <c r="U2" s="6"/>
    </row>
    <row r="3" spans="1:32" x14ac:dyDescent="0.3">
      <c r="A3" s="19" t="s">
        <v>11</v>
      </c>
      <c r="B3" s="2"/>
      <c r="C3" s="1" t="s">
        <v>12</v>
      </c>
      <c r="D3" s="2"/>
      <c r="E3" s="1"/>
      <c r="F3" s="18"/>
      <c r="I3" s="15" t="s">
        <v>4</v>
      </c>
      <c r="J3" s="14" t="s">
        <v>0</v>
      </c>
      <c r="K3" s="14" t="s">
        <v>7</v>
      </c>
      <c r="L3" s="3" t="s">
        <v>8</v>
      </c>
      <c r="M3" s="13" t="s">
        <v>9</v>
      </c>
      <c r="N3" s="69" t="s">
        <v>10</v>
      </c>
      <c r="O3" s="71" t="s">
        <v>4</v>
      </c>
      <c r="P3" s="48" t="s">
        <v>0</v>
      </c>
      <c r="Q3" s="48" t="s">
        <v>7</v>
      </c>
      <c r="R3" s="55" t="s">
        <v>8</v>
      </c>
      <c r="S3" s="13" t="s">
        <v>9</v>
      </c>
      <c r="T3" s="55" t="s">
        <v>10</v>
      </c>
      <c r="U3" s="72" t="s">
        <v>18</v>
      </c>
      <c r="W3" t="s">
        <v>15</v>
      </c>
      <c r="X3">
        <f>SQRT(29)</f>
        <v>5.3851648071345037</v>
      </c>
    </row>
    <row r="4" spans="1:32" ht="15" thickBot="1" x14ac:dyDescent="0.35">
      <c r="A4" s="19">
        <v>1.0469999999999999</v>
      </c>
      <c r="B4" s="2">
        <v>245</v>
      </c>
      <c r="C4" s="23">
        <v>1.0469999999999999</v>
      </c>
      <c r="D4" s="24">
        <v>245</v>
      </c>
      <c r="E4" s="1"/>
      <c r="F4" s="18"/>
      <c r="I4" s="20">
        <v>4.4530000000000003</v>
      </c>
      <c r="J4" s="13">
        <v>264</v>
      </c>
      <c r="K4" s="13">
        <v>217</v>
      </c>
      <c r="L4" s="1">
        <v>217</v>
      </c>
      <c r="M4" s="13">
        <f>(J4-$B4)/$B4</f>
        <v>7.7551020408163265E-2</v>
      </c>
      <c r="N4" s="18">
        <f>(J4-K4)/K4</f>
        <v>0.21658986175115208</v>
      </c>
      <c r="O4" s="49">
        <v>4.4530000000000003</v>
      </c>
      <c r="P4" s="32">
        <v>264</v>
      </c>
      <c r="Q4" s="32">
        <v>217</v>
      </c>
      <c r="R4" s="33">
        <v>217</v>
      </c>
      <c r="S4" s="32">
        <v>7.7551020408163265E-2</v>
      </c>
      <c r="T4" s="45">
        <v>0.21658986175115208</v>
      </c>
      <c r="U4" s="50">
        <f>(P4-R4)/R4</f>
        <v>0.21658986175115208</v>
      </c>
      <c r="Y4" t="s">
        <v>16</v>
      </c>
      <c r="Z4" t="s">
        <v>44</v>
      </c>
      <c r="AA4" t="s">
        <v>8</v>
      </c>
    </row>
    <row r="5" spans="1:32" x14ac:dyDescent="0.3">
      <c r="A5" s="7">
        <v>1.8430000000000002</v>
      </c>
      <c r="B5" s="4">
        <v>250</v>
      </c>
      <c r="C5" s="25">
        <v>1.8430000000000002</v>
      </c>
      <c r="D5" s="26">
        <v>250</v>
      </c>
      <c r="E5" s="3"/>
      <c r="F5" s="8"/>
      <c r="I5" s="15">
        <v>3.6399999999999997</v>
      </c>
      <c r="J5" s="14">
        <v>297</v>
      </c>
      <c r="K5" s="14">
        <v>227</v>
      </c>
      <c r="L5" s="3">
        <v>199</v>
      </c>
      <c r="M5" s="14">
        <f t="shared" ref="M5:M33" si="0">(J5-$B5)/$B5</f>
        <v>0.188</v>
      </c>
      <c r="N5" s="8">
        <f t="shared" ref="N5:N33" si="1">(J5-K5)/K5</f>
        <v>0.30837004405286345</v>
      </c>
      <c r="O5" s="51">
        <v>3.6399999999999997</v>
      </c>
      <c r="P5" s="34">
        <v>297</v>
      </c>
      <c r="Q5" s="34">
        <v>227</v>
      </c>
      <c r="R5" s="35">
        <v>199</v>
      </c>
      <c r="S5" s="34">
        <v>0.188</v>
      </c>
      <c r="T5" s="46">
        <v>0.30837004405286345</v>
      </c>
      <c r="U5" s="52">
        <f t="shared" ref="U5:U33" si="2">(P5-R5)/R5</f>
        <v>0.49246231155778897</v>
      </c>
      <c r="W5" s="5">
        <v>0</v>
      </c>
      <c r="X5" s="22">
        <f t="shared" ref="X5:X10" si="3">W5+0.1</f>
        <v>0.1</v>
      </c>
      <c r="Y5" s="59">
        <f>COUNTIFS($S$4:$S$33,"&lt;"&amp;X5,$S$4:$S$33,"&gt;="&amp;W5)/$Y$12</f>
        <v>7.1428571428571425E-2</v>
      </c>
      <c r="Z5" s="56">
        <f>COUNTIFS($T$4:$T$33,"&lt;"&amp;X5,$T$4:$T$33,"&gt;="&amp;W5)/$Y$12</f>
        <v>0</v>
      </c>
      <c r="AA5" s="62">
        <f>COUNTIFS($U$4:$U$33,"&lt;"&amp;X5,$U$4:$U$33,"&gt;="&amp;W5)/$Y$12</f>
        <v>0</v>
      </c>
      <c r="AB5" s="6" t="str">
        <f>_xlfn.CONCAT(TEXT(W5,"0.00"),"-",TEXT(X5,"0.00"))</f>
        <v>0.00-0.10</v>
      </c>
    </row>
    <row r="6" spans="1:32" x14ac:dyDescent="0.3">
      <c r="A6" s="7">
        <v>1.016</v>
      </c>
      <c r="B6" s="4">
        <v>242</v>
      </c>
      <c r="C6" s="25">
        <v>1.016</v>
      </c>
      <c r="D6" s="26">
        <v>242</v>
      </c>
      <c r="E6" s="3"/>
      <c r="F6" s="8"/>
      <c r="I6" s="15">
        <v>3.516</v>
      </c>
      <c r="J6" s="14">
        <v>286</v>
      </c>
      <c r="K6" s="14">
        <v>218</v>
      </c>
      <c r="L6" s="3">
        <v>215</v>
      </c>
      <c r="M6" s="14">
        <f t="shared" si="0"/>
        <v>0.18181818181818182</v>
      </c>
      <c r="N6" s="8">
        <f t="shared" si="1"/>
        <v>0.31192660550458717</v>
      </c>
      <c r="O6" s="51">
        <v>3.516</v>
      </c>
      <c r="P6" s="34">
        <v>286</v>
      </c>
      <c r="Q6" s="34">
        <v>218</v>
      </c>
      <c r="R6" s="35">
        <v>215</v>
      </c>
      <c r="S6" s="34">
        <v>0.18181818181818182</v>
      </c>
      <c r="T6" s="46">
        <v>0.31192660550458717</v>
      </c>
      <c r="U6" s="52">
        <f t="shared" si="2"/>
        <v>0.33023255813953489</v>
      </c>
      <c r="W6" s="7">
        <f t="shared" ref="W6:W11" si="4">X5</f>
        <v>0.1</v>
      </c>
      <c r="X6">
        <f t="shared" si="3"/>
        <v>0.2</v>
      </c>
      <c r="Y6" s="60">
        <f t="shared" ref="Y6:Y11" si="5">COUNTIFS($S$4:$S$33,"&lt;"&amp;X6,$S$4:$S$33,"&gt;="&amp;W6)/$Y$12</f>
        <v>0.5</v>
      </c>
      <c r="Z6" s="57">
        <f t="shared" ref="Z6:Z11" si="6">COUNTIFS($T$4:$T$33,"&lt;"&amp;X6,$T$4:$T$33,"&gt;="&amp;W6)/$Y$12</f>
        <v>0.14285714285714285</v>
      </c>
      <c r="AA6" s="63">
        <f t="shared" ref="AA6:AA11" si="7">COUNTIFS($U$4:$U$33,"&lt;"&amp;X6,$U$4:$U$33,"&gt;="&amp;W6)/$Y$12</f>
        <v>3.5714285714285712E-2</v>
      </c>
      <c r="AB6" s="8" t="str">
        <f t="shared" ref="AB6:AB11" si="8">_xlfn.CONCAT(TEXT(W6,"0.00"),"-",TEXT(X6,"0.00"))</f>
        <v>0.10-0.20</v>
      </c>
    </row>
    <row r="7" spans="1:32" x14ac:dyDescent="0.3">
      <c r="A7" s="7">
        <v>3.3749999999999996</v>
      </c>
      <c r="B7" s="4">
        <v>263</v>
      </c>
      <c r="C7" s="25">
        <v>3.3749999999999996</v>
      </c>
      <c r="D7" s="26">
        <v>263</v>
      </c>
      <c r="E7" s="3"/>
      <c r="F7" s="8"/>
      <c r="I7" s="15">
        <v>3.641</v>
      </c>
      <c r="J7" s="14">
        <v>350</v>
      </c>
      <c r="K7" s="14">
        <v>262</v>
      </c>
      <c r="L7" s="3">
        <v>212</v>
      </c>
      <c r="M7" s="14">
        <f t="shared" si="0"/>
        <v>0.33079847908745247</v>
      </c>
      <c r="N7" s="8">
        <f t="shared" si="1"/>
        <v>0.33587786259541985</v>
      </c>
      <c r="O7" s="51">
        <v>3.641</v>
      </c>
      <c r="P7" s="34">
        <v>350</v>
      </c>
      <c r="Q7" s="34">
        <v>262</v>
      </c>
      <c r="R7" s="35">
        <v>212</v>
      </c>
      <c r="S7" s="34">
        <v>0.33079847908745247</v>
      </c>
      <c r="T7" s="46">
        <v>0.33587786259541985</v>
      </c>
      <c r="U7" s="52">
        <f t="shared" si="2"/>
        <v>0.65094339622641506</v>
      </c>
      <c r="W7" s="7">
        <f t="shared" si="4"/>
        <v>0.2</v>
      </c>
      <c r="X7">
        <f t="shared" si="3"/>
        <v>0.30000000000000004</v>
      </c>
      <c r="Y7" s="60">
        <f t="shared" si="5"/>
        <v>0.32142857142857145</v>
      </c>
      <c r="Z7" s="57">
        <f t="shared" si="6"/>
        <v>0.32142857142857145</v>
      </c>
      <c r="AA7" s="63">
        <f t="shared" si="7"/>
        <v>7.1428571428571425E-2</v>
      </c>
      <c r="AB7" s="8" t="str">
        <f t="shared" si="8"/>
        <v>0.20-0.30</v>
      </c>
    </row>
    <row r="8" spans="1:32" x14ac:dyDescent="0.3">
      <c r="A8" s="7">
        <v>1.2969999999999997</v>
      </c>
      <c r="B8" s="4">
        <v>242</v>
      </c>
      <c r="C8" s="25">
        <v>1.2969999999999997</v>
      </c>
      <c r="D8" s="26">
        <v>242</v>
      </c>
      <c r="E8" s="3"/>
      <c r="F8" s="8"/>
      <c r="I8" s="15">
        <v>3.5459999999999994</v>
      </c>
      <c r="J8" s="14">
        <v>314</v>
      </c>
      <c r="K8" s="14">
        <v>221</v>
      </c>
      <c r="L8" s="3">
        <v>221</v>
      </c>
      <c r="M8" s="14">
        <f t="shared" si="0"/>
        <v>0.2975206611570248</v>
      </c>
      <c r="N8" s="8">
        <f t="shared" si="1"/>
        <v>0.42081447963800905</v>
      </c>
      <c r="O8" s="51">
        <v>3.5459999999999994</v>
      </c>
      <c r="P8" s="34">
        <v>314</v>
      </c>
      <c r="Q8" s="34">
        <v>221</v>
      </c>
      <c r="R8" s="35">
        <v>221</v>
      </c>
      <c r="S8" s="34">
        <v>0.2975206611570248</v>
      </c>
      <c r="T8" s="46">
        <v>0.42081447963800905</v>
      </c>
      <c r="U8" s="52">
        <f t="shared" si="2"/>
        <v>0.42081447963800905</v>
      </c>
      <c r="W8" s="7">
        <f t="shared" si="4"/>
        <v>0.30000000000000004</v>
      </c>
      <c r="X8">
        <f t="shared" si="3"/>
        <v>0.4</v>
      </c>
      <c r="Y8" s="60">
        <f t="shared" si="5"/>
        <v>0.10714285714285714</v>
      </c>
      <c r="Z8" s="57">
        <f t="shared" si="6"/>
        <v>0.42857142857142855</v>
      </c>
      <c r="AA8" s="63">
        <f t="shared" si="7"/>
        <v>0.17857142857142858</v>
      </c>
      <c r="AB8" s="8" t="str">
        <f t="shared" si="8"/>
        <v>0.30-0.40</v>
      </c>
      <c r="AD8">
        <f>AVERAGE(S4:S33)</f>
        <v>0.20532206237183054</v>
      </c>
      <c r="AE8">
        <f>AVERAGE(T4:T33)</f>
        <v>0.29541715222718573</v>
      </c>
      <c r="AF8">
        <f>AVERAGE(U4:U33)</f>
        <v>0.46149752413576989</v>
      </c>
    </row>
    <row r="9" spans="1:32" x14ac:dyDescent="0.3">
      <c r="A9" s="7">
        <v>1.4530000000000012</v>
      </c>
      <c r="B9" s="4">
        <v>246</v>
      </c>
      <c r="C9" s="25">
        <v>1.4530000000000012</v>
      </c>
      <c r="D9" s="26">
        <v>246</v>
      </c>
      <c r="E9" s="3"/>
      <c r="F9" s="8"/>
      <c r="I9" s="15">
        <v>3.6099999999999994</v>
      </c>
      <c r="J9" s="14">
        <v>299</v>
      </c>
      <c r="K9" s="14">
        <v>229</v>
      </c>
      <c r="L9" s="3">
        <v>204</v>
      </c>
      <c r="M9" s="14">
        <f t="shared" si="0"/>
        <v>0.21544715447154472</v>
      </c>
      <c r="N9" s="8">
        <f t="shared" si="1"/>
        <v>0.3056768558951965</v>
      </c>
      <c r="O9" s="51">
        <v>3.6099999999999994</v>
      </c>
      <c r="P9" s="34">
        <v>299</v>
      </c>
      <c r="Q9" s="34">
        <v>229</v>
      </c>
      <c r="R9" s="35">
        <v>204</v>
      </c>
      <c r="S9" s="34">
        <v>0.21544715447154472</v>
      </c>
      <c r="T9" s="46">
        <v>0.3056768558951965</v>
      </c>
      <c r="U9" s="52">
        <f t="shared" si="2"/>
        <v>0.46568627450980393</v>
      </c>
      <c r="W9" s="7">
        <f t="shared" si="4"/>
        <v>0.4</v>
      </c>
      <c r="X9">
        <f t="shared" si="3"/>
        <v>0.5</v>
      </c>
      <c r="Y9" s="60">
        <f t="shared" si="5"/>
        <v>0</v>
      </c>
      <c r="Z9" s="57">
        <f t="shared" si="6"/>
        <v>3.5714285714285712E-2</v>
      </c>
      <c r="AA9" s="63">
        <f t="shared" si="7"/>
        <v>0.35714285714285715</v>
      </c>
      <c r="AB9" s="8" t="str">
        <f t="shared" si="8"/>
        <v>0.40-0.50</v>
      </c>
    </row>
    <row r="10" spans="1:32" x14ac:dyDescent="0.3">
      <c r="A10" s="7">
        <v>1.157</v>
      </c>
      <c r="B10" s="4">
        <v>238</v>
      </c>
      <c r="C10" s="25">
        <v>1.157</v>
      </c>
      <c r="D10" s="26">
        <v>238</v>
      </c>
      <c r="E10" s="3"/>
      <c r="F10" s="8"/>
      <c r="I10" s="15">
        <v>4.703000000000003</v>
      </c>
      <c r="J10" s="14">
        <v>299</v>
      </c>
      <c r="K10" s="14">
        <v>226</v>
      </c>
      <c r="L10" s="3">
        <v>193</v>
      </c>
      <c r="M10" s="14">
        <f t="shared" si="0"/>
        <v>0.25630252100840334</v>
      </c>
      <c r="N10" s="8">
        <f t="shared" si="1"/>
        <v>0.32300884955752213</v>
      </c>
      <c r="O10" s="51">
        <v>4.703000000000003</v>
      </c>
      <c r="P10" s="34">
        <v>299</v>
      </c>
      <c r="Q10" s="34">
        <v>226</v>
      </c>
      <c r="R10" s="35">
        <v>193</v>
      </c>
      <c r="S10" s="34">
        <v>0.25630252100840334</v>
      </c>
      <c r="T10" s="46">
        <v>0.32300884955752213</v>
      </c>
      <c r="U10" s="52">
        <f t="shared" si="2"/>
        <v>0.54922279792746109</v>
      </c>
      <c r="W10" s="7">
        <f t="shared" si="4"/>
        <v>0.5</v>
      </c>
      <c r="X10">
        <f t="shared" si="3"/>
        <v>0.6</v>
      </c>
      <c r="Y10" s="60">
        <f t="shared" si="5"/>
        <v>0</v>
      </c>
      <c r="Z10" s="57">
        <f t="shared" si="6"/>
        <v>3.5714285714285712E-2</v>
      </c>
      <c r="AA10" s="63">
        <f t="shared" si="7"/>
        <v>0.21428571428571427</v>
      </c>
      <c r="AB10" s="8" t="str">
        <f t="shared" si="8"/>
        <v>0.50-0.60</v>
      </c>
    </row>
    <row r="11" spans="1:32" ht="15" thickBot="1" x14ac:dyDescent="0.35">
      <c r="A11" s="7">
        <v>0.75</v>
      </c>
      <c r="B11" s="4">
        <v>268</v>
      </c>
      <c r="C11" s="25">
        <v>0.75</v>
      </c>
      <c r="D11" s="26">
        <v>268</v>
      </c>
      <c r="E11" s="3"/>
      <c r="F11" s="8"/>
      <c r="I11" s="15">
        <v>7.0159999999999982</v>
      </c>
      <c r="J11" s="14">
        <v>304</v>
      </c>
      <c r="K11" s="14">
        <v>248</v>
      </c>
      <c r="L11" s="3">
        <v>228</v>
      </c>
      <c r="M11" s="14">
        <f t="shared" si="0"/>
        <v>0.13432835820895522</v>
      </c>
      <c r="N11" s="8">
        <f t="shared" si="1"/>
        <v>0.22580645161290322</v>
      </c>
      <c r="O11" s="51">
        <v>7.0159999999999982</v>
      </c>
      <c r="P11" s="34">
        <v>304</v>
      </c>
      <c r="Q11" s="34">
        <v>248</v>
      </c>
      <c r="R11" s="35">
        <v>228</v>
      </c>
      <c r="S11" s="34">
        <v>0.13432835820895522</v>
      </c>
      <c r="T11" s="46">
        <v>0.22580645161290322</v>
      </c>
      <c r="U11" s="52">
        <f t="shared" si="2"/>
        <v>0.33333333333333331</v>
      </c>
      <c r="W11" s="9">
        <f t="shared" si="4"/>
        <v>0.6</v>
      </c>
      <c r="X11" s="38">
        <f>1</f>
        <v>1</v>
      </c>
      <c r="Y11" s="61">
        <f t="shared" si="5"/>
        <v>0</v>
      </c>
      <c r="Z11" s="58">
        <f t="shared" si="6"/>
        <v>3.5714285714285712E-2</v>
      </c>
      <c r="AA11" s="64">
        <f t="shared" si="7"/>
        <v>0.14285714285714285</v>
      </c>
      <c r="AB11" s="12" t="str">
        <f t="shared" si="8"/>
        <v>0.60-1.00</v>
      </c>
    </row>
    <row r="12" spans="1:32" x14ac:dyDescent="0.3">
      <c r="A12" s="7">
        <v>0.89100000000000001</v>
      </c>
      <c r="B12" s="4">
        <v>217</v>
      </c>
      <c r="C12" s="25">
        <v>0.89100000000000001</v>
      </c>
      <c r="D12" s="26">
        <v>217</v>
      </c>
      <c r="E12" s="3"/>
      <c r="F12" s="8"/>
      <c r="I12" s="15">
        <v>6.5619999999999976</v>
      </c>
      <c r="J12" s="14">
        <v>270</v>
      </c>
      <c r="K12" s="14">
        <v>205</v>
      </c>
      <c r="L12" s="3">
        <v>199</v>
      </c>
      <c r="M12" s="14">
        <f t="shared" si="0"/>
        <v>0.24423963133640553</v>
      </c>
      <c r="N12" s="8">
        <f t="shared" si="1"/>
        <v>0.31707317073170732</v>
      </c>
      <c r="O12" s="51">
        <v>6.5619999999999976</v>
      </c>
      <c r="P12" s="34">
        <v>270</v>
      </c>
      <c r="Q12" s="34">
        <v>205</v>
      </c>
      <c r="R12" s="35">
        <v>199</v>
      </c>
      <c r="S12" s="34">
        <v>0.24423963133640553</v>
      </c>
      <c r="T12" s="46">
        <v>0.31707317073170732</v>
      </c>
      <c r="U12" s="52">
        <f t="shared" si="2"/>
        <v>0.35678391959798994</v>
      </c>
      <c r="Y12">
        <v>28</v>
      </c>
      <c r="Z12">
        <v>28</v>
      </c>
    </row>
    <row r="13" spans="1:32" x14ac:dyDescent="0.3">
      <c r="A13" s="7">
        <v>1.2349999999999994</v>
      </c>
      <c r="B13" s="4">
        <v>242</v>
      </c>
      <c r="C13" s="25">
        <v>1.2349999999999994</v>
      </c>
      <c r="D13" s="26">
        <v>242</v>
      </c>
      <c r="E13" s="3"/>
      <c r="F13" s="8"/>
      <c r="I13" s="15">
        <v>5.4060000000000059</v>
      </c>
      <c r="J13" s="14">
        <v>284</v>
      </c>
      <c r="K13" s="14">
        <v>230</v>
      </c>
      <c r="L13" s="3">
        <v>196</v>
      </c>
      <c r="M13" s="14">
        <f t="shared" si="0"/>
        <v>0.17355371900826447</v>
      </c>
      <c r="N13" s="8">
        <f t="shared" si="1"/>
        <v>0.23478260869565218</v>
      </c>
      <c r="O13" s="51">
        <v>5.4060000000000059</v>
      </c>
      <c r="P13" s="34">
        <v>284</v>
      </c>
      <c r="Q13" s="34">
        <v>230</v>
      </c>
      <c r="R13" s="35">
        <v>196</v>
      </c>
      <c r="S13" s="34">
        <v>0.17355371900826447</v>
      </c>
      <c r="T13" s="46">
        <v>0.23478260869565218</v>
      </c>
      <c r="U13" s="52">
        <f t="shared" si="2"/>
        <v>0.44897959183673469</v>
      </c>
      <c r="Y13">
        <f>SUM(Y5:Y11)</f>
        <v>0.99999999999999989</v>
      </c>
      <c r="Z13">
        <f>SUM(Z5:Z11)</f>
        <v>0.99999999999999989</v>
      </c>
      <c r="AA13">
        <f>SUM(AA5:AA11)</f>
        <v>1</v>
      </c>
    </row>
    <row r="14" spans="1:32" x14ac:dyDescent="0.3">
      <c r="A14" s="7">
        <v>2.25</v>
      </c>
      <c r="B14" s="4">
        <v>236</v>
      </c>
      <c r="C14" s="25">
        <v>2.25</v>
      </c>
      <c r="D14" s="26">
        <v>236</v>
      </c>
      <c r="E14" s="3"/>
      <c r="F14" s="8"/>
      <c r="I14" s="15">
        <v>6.0939999999999941</v>
      </c>
      <c r="J14" s="14">
        <v>289</v>
      </c>
      <c r="K14" s="14">
        <v>220</v>
      </c>
      <c r="L14" s="3">
        <v>188</v>
      </c>
      <c r="M14" s="14">
        <f t="shared" si="0"/>
        <v>0.22457627118644069</v>
      </c>
      <c r="N14" s="8">
        <f t="shared" si="1"/>
        <v>0.31363636363636366</v>
      </c>
      <c r="O14" s="51">
        <v>6.0939999999999941</v>
      </c>
      <c r="P14" s="34">
        <v>289</v>
      </c>
      <c r="Q14" s="34">
        <v>220</v>
      </c>
      <c r="R14" s="35">
        <v>188</v>
      </c>
      <c r="S14" s="34">
        <v>0.22457627118644069</v>
      </c>
      <c r="T14" s="46">
        <v>0.31363636363636366</v>
      </c>
      <c r="U14" s="52">
        <f t="shared" si="2"/>
        <v>0.53723404255319152</v>
      </c>
    </row>
    <row r="15" spans="1:32" x14ac:dyDescent="0.3">
      <c r="A15" s="7">
        <v>1.7339999999999982</v>
      </c>
      <c r="B15" s="4">
        <v>235</v>
      </c>
      <c r="C15" s="25">
        <v>1.7339999999999982</v>
      </c>
      <c r="D15" s="26">
        <v>235</v>
      </c>
      <c r="E15" s="3"/>
      <c r="F15" s="8"/>
      <c r="I15" s="15">
        <v>6.1410000000000053</v>
      </c>
      <c r="J15" s="14">
        <v>287</v>
      </c>
      <c r="K15" s="14">
        <v>214</v>
      </c>
      <c r="L15" s="3">
        <v>204</v>
      </c>
      <c r="M15" s="14">
        <f t="shared" si="0"/>
        <v>0.22127659574468084</v>
      </c>
      <c r="N15" s="8">
        <f t="shared" si="1"/>
        <v>0.34112149532710279</v>
      </c>
      <c r="O15" s="51">
        <v>6.1410000000000053</v>
      </c>
      <c r="P15" s="34">
        <v>287</v>
      </c>
      <c r="Q15" s="34">
        <v>214</v>
      </c>
      <c r="R15" s="35">
        <v>204</v>
      </c>
      <c r="S15" s="34">
        <v>0.22127659574468084</v>
      </c>
      <c r="T15" s="46">
        <v>0.34112149532710279</v>
      </c>
      <c r="U15" s="52">
        <f t="shared" si="2"/>
        <v>0.40686274509803921</v>
      </c>
    </row>
    <row r="16" spans="1:32" x14ac:dyDescent="0.3">
      <c r="A16" s="7">
        <v>1.1720000000000006</v>
      </c>
      <c r="B16" s="4">
        <v>236</v>
      </c>
      <c r="C16" s="25">
        <v>1.1720000000000006</v>
      </c>
      <c r="D16" s="26">
        <v>236</v>
      </c>
      <c r="E16" s="3"/>
      <c r="F16" s="8"/>
      <c r="I16" s="15">
        <v>6.4839999999999947</v>
      </c>
      <c r="J16" s="14">
        <v>301</v>
      </c>
      <c r="K16" s="14">
        <v>236</v>
      </c>
      <c r="L16" s="3">
        <v>201</v>
      </c>
      <c r="M16" s="14">
        <f t="shared" si="0"/>
        <v>0.27542372881355931</v>
      </c>
      <c r="N16" s="8">
        <f t="shared" si="1"/>
        <v>0.27542372881355931</v>
      </c>
      <c r="O16" s="51">
        <v>6.4839999999999947</v>
      </c>
      <c r="P16" s="34">
        <v>301</v>
      </c>
      <c r="Q16" s="34">
        <v>236</v>
      </c>
      <c r="R16" s="35">
        <v>201</v>
      </c>
      <c r="S16" s="34">
        <v>0.27542372881355931</v>
      </c>
      <c r="T16" s="46">
        <v>0.27542372881355931</v>
      </c>
      <c r="U16" s="52">
        <f t="shared" si="2"/>
        <v>0.49751243781094528</v>
      </c>
    </row>
    <row r="17" spans="1:21" x14ac:dyDescent="0.3">
      <c r="A17" s="7">
        <v>3.8599999999999994</v>
      </c>
      <c r="B17" s="4">
        <v>272</v>
      </c>
      <c r="C17" s="25">
        <v>3.8599999999999994</v>
      </c>
      <c r="D17" s="26">
        <v>272</v>
      </c>
      <c r="E17" s="3"/>
      <c r="F17" s="8"/>
      <c r="I17" s="15">
        <v>6.671999999999997</v>
      </c>
      <c r="J17" s="14">
        <v>305</v>
      </c>
      <c r="K17" s="14">
        <v>247</v>
      </c>
      <c r="L17" s="3">
        <v>194</v>
      </c>
      <c r="M17" s="14">
        <f t="shared" si="0"/>
        <v>0.12132352941176471</v>
      </c>
      <c r="N17" s="8">
        <f t="shared" si="1"/>
        <v>0.23481781376518218</v>
      </c>
      <c r="O17" s="51">
        <v>6.671999999999997</v>
      </c>
      <c r="P17" s="34">
        <v>305</v>
      </c>
      <c r="Q17" s="34">
        <v>247</v>
      </c>
      <c r="R17" s="35">
        <v>194</v>
      </c>
      <c r="S17" s="34">
        <v>0.12132352941176471</v>
      </c>
      <c r="T17" s="46">
        <v>0.23481781376518218</v>
      </c>
      <c r="U17" s="52">
        <f t="shared" si="2"/>
        <v>0.57216494845360821</v>
      </c>
    </row>
    <row r="18" spans="1:21" x14ac:dyDescent="0.3">
      <c r="A18" s="7">
        <v>2.9840000000000018</v>
      </c>
      <c r="B18" s="4">
        <v>241</v>
      </c>
      <c r="C18" s="25">
        <v>2.9840000000000018</v>
      </c>
      <c r="D18" s="26">
        <v>241</v>
      </c>
      <c r="E18" s="3"/>
      <c r="F18" s="8"/>
      <c r="I18" s="15">
        <v>6.625</v>
      </c>
      <c r="J18" s="14">
        <v>280</v>
      </c>
      <c r="K18" s="14">
        <v>221</v>
      </c>
      <c r="L18" s="3">
        <v>194</v>
      </c>
      <c r="M18" s="14">
        <f t="shared" si="0"/>
        <v>0.16182572614107885</v>
      </c>
      <c r="N18" s="8">
        <f t="shared" si="1"/>
        <v>0.2669683257918552</v>
      </c>
      <c r="O18" s="51">
        <v>6.625</v>
      </c>
      <c r="P18" s="34">
        <v>280</v>
      </c>
      <c r="Q18" s="34">
        <v>221</v>
      </c>
      <c r="R18" s="35">
        <v>194</v>
      </c>
      <c r="S18" s="34">
        <v>0.16182572614107885</v>
      </c>
      <c r="T18" s="46">
        <v>0.2669683257918552</v>
      </c>
      <c r="U18" s="52">
        <f t="shared" si="2"/>
        <v>0.44329896907216493</v>
      </c>
    </row>
    <row r="19" spans="1:21" x14ac:dyDescent="0.3">
      <c r="A19" s="7">
        <v>1.125</v>
      </c>
      <c r="B19" s="4">
        <v>226</v>
      </c>
      <c r="C19" s="25">
        <v>1.125</v>
      </c>
      <c r="D19" s="26">
        <v>226</v>
      </c>
      <c r="E19" s="3"/>
      <c r="F19" s="8"/>
      <c r="I19" s="15">
        <v>6.0310000000000059</v>
      </c>
      <c r="J19" s="14">
        <v>254</v>
      </c>
      <c r="K19" s="14">
        <v>217</v>
      </c>
      <c r="L19" s="3">
        <v>198</v>
      </c>
      <c r="M19" s="14">
        <f t="shared" si="0"/>
        <v>0.12389380530973451</v>
      </c>
      <c r="N19" s="8">
        <f t="shared" si="1"/>
        <v>0.17050691244239632</v>
      </c>
      <c r="O19" s="51">
        <v>6.0310000000000059</v>
      </c>
      <c r="P19" s="34">
        <v>254</v>
      </c>
      <c r="Q19" s="34">
        <v>217</v>
      </c>
      <c r="R19" s="35">
        <v>198</v>
      </c>
      <c r="S19" s="34">
        <v>0.12389380530973451</v>
      </c>
      <c r="T19" s="46">
        <v>0.17050691244239632</v>
      </c>
      <c r="U19" s="52">
        <f t="shared" si="2"/>
        <v>0.28282828282828282</v>
      </c>
    </row>
    <row r="20" spans="1:21" x14ac:dyDescent="0.3">
      <c r="A20" s="7">
        <v>3.7029999999999994</v>
      </c>
      <c r="B20" s="4">
        <v>274</v>
      </c>
      <c r="C20" s="25">
        <v>3.7029999999999994</v>
      </c>
      <c r="D20" s="26">
        <v>274</v>
      </c>
      <c r="E20" s="3"/>
      <c r="F20" s="8"/>
      <c r="I20" s="15">
        <v>5.9689999999999941</v>
      </c>
      <c r="J20" s="14">
        <v>316</v>
      </c>
      <c r="K20" s="14">
        <v>270</v>
      </c>
      <c r="L20" s="3">
        <v>237</v>
      </c>
      <c r="M20" s="14">
        <f t="shared" si="0"/>
        <v>0.15328467153284672</v>
      </c>
      <c r="N20" s="8">
        <f t="shared" si="1"/>
        <v>0.17037037037037037</v>
      </c>
      <c r="O20" s="51">
        <v>5.9689999999999941</v>
      </c>
      <c r="P20" s="34">
        <v>316</v>
      </c>
      <c r="Q20" s="34">
        <v>270</v>
      </c>
      <c r="R20" s="35">
        <v>237</v>
      </c>
      <c r="S20" s="34">
        <v>0.15328467153284672</v>
      </c>
      <c r="T20" s="46">
        <v>0.17037037037037037</v>
      </c>
      <c r="U20" s="52">
        <f t="shared" si="2"/>
        <v>0.33333333333333331</v>
      </c>
    </row>
    <row r="21" spans="1:21" x14ac:dyDescent="0.3">
      <c r="A21" s="7">
        <v>1.0779999999999994</v>
      </c>
      <c r="B21" s="4">
        <v>232</v>
      </c>
      <c r="C21" s="25">
        <v>1.0779999999999994</v>
      </c>
      <c r="D21" s="26">
        <v>232</v>
      </c>
      <c r="E21" s="3"/>
      <c r="F21" s="8"/>
      <c r="I21" s="15">
        <v>6.75</v>
      </c>
      <c r="J21" s="14">
        <v>278</v>
      </c>
      <c r="K21" s="14">
        <v>207</v>
      </c>
      <c r="L21" s="3">
        <v>176</v>
      </c>
      <c r="M21" s="14">
        <f t="shared" si="0"/>
        <v>0.19827586206896552</v>
      </c>
      <c r="N21" s="8">
        <f t="shared" si="1"/>
        <v>0.34299516908212563</v>
      </c>
      <c r="O21" s="51">
        <v>6.75</v>
      </c>
      <c r="P21" s="34">
        <v>278</v>
      </c>
      <c r="Q21" s="34">
        <v>207</v>
      </c>
      <c r="R21" s="35">
        <v>176</v>
      </c>
      <c r="S21" s="34">
        <v>0.19827586206896552</v>
      </c>
      <c r="T21" s="46">
        <v>0.34299516908212563</v>
      </c>
      <c r="U21" s="52">
        <f t="shared" si="2"/>
        <v>0.57954545454545459</v>
      </c>
    </row>
    <row r="22" spans="1:21" x14ac:dyDescent="0.3">
      <c r="A22" s="7">
        <v>1.5470000000000041</v>
      </c>
      <c r="B22" s="4">
        <v>221</v>
      </c>
      <c r="C22" s="25">
        <v>1.5470000000000041</v>
      </c>
      <c r="D22" s="26">
        <v>221</v>
      </c>
      <c r="E22" s="3"/>
      <c r="F22" s="8"/>
      <c r="I22" s="15">
        <v>6.5940000000000083</v>
      </c>
      <c r="J22" s="14">
        <v>240</v>
      </c>
      <c r="K22" s="14">
        <v>208</v>
      </c>
      <c r="L22" s="3">
        <v>167</v>
      </c>
      <c r="M22" s="14">
        <f t="shared" si="0"/>
        <v>8.5972850678733032E-2</v>
      </c>
      <c r="N22" s="8">
        <f t="shared" si="1"/>
        <v>0.15384615384615385</v>
      </c>
      <c r="O22" s="51">
        <v>6.5940000000000083</v>
      </c>
      <c r="P22" s="34">
        <v>240</v>
      </c>
      <c r="Q22" s="34">
        <v>208</v>
      </c>
      <c r="R22" s="35">
        <v>167</v>
      </c>
      <c r="S22" s="34">
        <v>8.5972850678733032E-2</v>
      </c>
      <c r="T22" s="46">
        <v>0.15384615384615385</v>
      </c>
      <c r="U22" s="52">
        <f t="shared" si="2"/>
        <v>0.43712574850299402</v>
      </c>
    </row>
    <row r="23" spans="1:21" x14ac:dyDescent="0.3">
      <c r="A23" s="7"/>
      <c r="B23" s="4"/>
      <c r="C23" s="25"/>
      <c r="D23" s="26"/>
      <c r="E23" s="3"/>
      <c r="F23" s="8"/>
      <c r="I23" s="41">
        <v>5.5930000000000035</v>
      </c>
      <c r="J23" s="42">
        <v>278</v>
      </c>
      <c r="K23" s="42">
        <v>220</v>
      </c>
      <c r="L23" s="43">
        <v>207</v>
      </c>
      <c r="M23" s="42" t="e">
        <f t="shared" si="0"/>
        <v>#DIV/0!</v>
      </c>
      <c r="N23" s="70">
        <f t="shared" si="1"/>
        <v>0.26363636363636361</v>
      </c>
      <c r="O23" s="51"/>
      <c r="P23" s="34"/>
      <c r="Q23" s="34"/>
      <c r="R23" s="35"/>
      <c r="S23" s="34"/>
      <c r="T23" s="46"/>
      <c r="U23" s="52"/>
    </row>
    <row r="24" spans="1:21" x14ac:dyDescent="0.3">
      <c r="A24" s="7">
        <v>1.7659999999999982</v>
      </c>
      <c r="B24" s="4">
        <v>241</v>
      </c>
      <c r="C24" s="25">
        <v>1.7659999999999982</v>
      </c>
      <c r="D24" s="26">
        <v>241</v>
      </c>
      <c r="E24" s="3"/>
      <c r="F24" s="8"/>
      <c r="I24" s="15">
        <v>6.1409999999999911</v>
      </c>
      <c r="J24" s="14">
        <v>286</v>
      </c>
      <c r="K24" s="14">
        <v>220</v>
      </c>
      <c r="L24" s="3">
        <v>193</v>
      </c>
      <c r="M24" s="14">
        <f t="shared" si="0"/>
        <v>0.18672199170124482</v>
      </c>
      <c r="N24" s="8">
        <f t="shared" si="1"/>
        <v>0.3</v>
      </c>
      <c r="O24" s="51">
        <v>6.1409999999999911</v>
      </c>
      <c r="P24" s="34">
        <v>286</v>
      </c>
      <c r="Q24" s="34">
        <v>220</v>
      </c>
      <c r="R24" s="35">
        <v>193</v>
      </c>
      <c r="S24" s="34">
        <v>0.18672199170124482</v>
      </c>
      <c r="T24" s="46">
        <v>0.3</v>
      </c>
      <c r="U24" s="52">
        <f t="shared" si="2"/>
        <v>0.48186528497409326</v>
      </c>
    </row>
    <row r="25" spans="1:21" x14ac:dyDescent="0.3">
      <c r="A25" s="7">
        <v>5.4529999999999959</v>
      </c>
      <c r="B25" s="4">
        <v>273</v>
      </c>
      <c r="C25" s="25">
        <v>5.4529999999999959</v>
      </c>
      <c r="D25" s="26">
        <v>273</v>
      </c>
      <c r="E25" s="3"/>
      <c r="F25" s="8"/>
      <c r="I25" s="15">
        <v>6.3590000000000089</v>
      </c>
      <c r="J25" s="14">
        <v>382</v>
      </c>
      <c r="K25" s="14">
        <v>237</v>
      </c>
      <c r="L25" s="3">
        <v>214</v>
      </c>
      <c r="M25" s="14">
        <f t="shared" si="0"/>
        <v>0.39926739926739929</v>
      </c>
      <c r="N25" s="8">
        <f t="shared" si="1"/>
        <v>0.61181434599156115</v>
      </c>
      <c r="O25" s="51">
        <v>6.3590000000000089</v>
      </c>
      <c r="P25" s="34">
        <v>382</v>
      </c>
      <c r="Q25" s="34">
        <v>237</v>
      </c>
      <c r="R25" s="35">
        <v>214</v>
      </c>
      <c r="S25" s="34">
        <v>0.39926739926739929</v>
      </c>
      <c r="T25" s="46">
        <v>0.61181434599156115</v>
      </c>
      <c r="U25" s="52">
        <f t="shared" si="2"/>
        <v>0.78504672897196259</v>
      </c>
    </row>
    <row r="26" spans="1:21" x14ac:dyDescent="0.3">
      <c r="A26" s="7">
        <v>3.0160000000000053</v>
      </c>
      <c r="B26" s="4">
        <v>247</v>
      </c>
      <c r="C26" s="25">
        <v>3.0160000000000053</v>
      </c>
      <c r="D26" s="26">
        <v>247</v>
      </c>
      <c r="E26" s="3"/>
      <c r="F26" s="8"/>
      <c r="I26" s="15">
        <v>6.6719999999999828</v>
      </c>
      <c r="J26" s="14">
        <v>288</v>
      </c>
      <c r="K26" s="14">
        <v>224</v>
      </c>
      <c r="L26" s="3">
        <v>177</v>
      </c>
      <c r="M26" s="14">
        <f t="shared" si="0"/>
        <v>0.16599190283400811</v>
      </c>
      <c r="N26" s="8">
        <f t="shared" si="1"/>
        <v>0.2857142857142857</v>
      </c>
      <c r="O26" s="51">
        <v>6.6719999999999828</v>
      </c>
      <c r="P26" s="34">
        <v>288</v>
      </c>
      <c r="Q26" s="34">
        <v>224</v>
      </c>
      <c r="R26" s="35">
        <v>177</v>
      </c>
      <c r="S26" s="34">
        <v>0.16599190283400811</v>
      </c>
      <c r="T26" s="46">
        <v>0.2857142857142857</v>
      </c>
      <c r="U26" s="52">
        <f t="shared" si="2"/>
        <v>0.6271186440677966</v>
      </c>
    </row>
    <row r="27" spans="1:21" x14ac:dyDescent="0.3">
      <c r="A27" s="7">
        <v>8.7659999999999982</v>
      </c>
      <c r="B27" s="4">
        <v>256</v>
      </c>
      <c r="C27" s="25">
        <v>8.7659999999999982</v>
      </c>
      <c r="D27" s="26">
        <v>256</v>
      </c>
      <c r="E27" s="3"/>
      <c r="F27" s="8"/>
      <c r="I27" s="15">
        <v>6.2350000000000136</v>
      </c>
      <c r="J27" s="14">
        <v>308</v>
      </c>
      <c r="K27" s="14">
        <v>235</v>
      </c>
      <c r="L27" s="3">
        <v>211</v>
      </c>
      <c r="M27" s="14">
        <f t="shared" si="0"/>
        <v>0.203125</v>
      </c>
      <c r="N27" s="8">
        <f t="shared" si="1"/>
        <v>0.31063829787234043</v>
      </c>
      <c r="O27" s="51">
        <v>6.2350000000000136</v>
      </c>
      <c r="P27" s="34">
        <v>308</v>
      </c>
      <c r="Q27" s="34">
        <v>235</v>
      </c>
      <c r="R27" s="35">
        <v>211</v>
      </c>
      <c r="S27" s="34">
        <v>0.203125</v>
      </c>
      <c r="T27" s="46">
        <v>0.31063829787234043</v>
      </c>
      <c r="U27" s="52">
        <f t="shared" si="2"/>
        <v>0.45971563981042651</v>
      </c>
    </row>
    <row r="28" spans="1:21" x14ac:dyDescent="0.3">
      <c r="A28" s="7">
        <v>1.5929999999999964</v>
      </c>
      <c r="B28" s="4">
        <v>238</v>
      </c>
      <c r="C28" s="25">
        <v>1.5929999999999964</v>
      </c>
      <c r="D28" s="26">
        <v>238</v>
      </c>
      <c r="E28" s="3"/>
      <c r="F28" s="8"/>
      <c r="I28" s="15">
        <v>6.3119999999999834</v>
      </c>
      <c r="J28" s="14">
        <v>284</v>
      </c>
      <c r="K28" s="14">
        <v>234</v>
      </c>
      <c r="L28" s="3">
        <v>186</v>
      </c>
      <c r="M28" s="14">
        <f t="shared" si="0"/>
        <v>0.19327731092436976</v>
      </c>
      <c r="N28" s="8">
        <f t="shared" si="1"/>
        <v>0.21367521367521367</v>
      </c>
      <c r="O28" s="51">
        <v>6.3119999999999834</v>
      </c>
      <c r="P28" s="34">
        <v>284</v>
      </c>
      <c r="Q28" s="34">
        <v>234</v>
      </c>
      <c r="R28" s="35">
        <v>186</v>
      </c>
      <c r="S28" s="34">
        <v>0.19327731092436976</v>
      </c>
      <c r="T28" s="46">
        <v>0.21367521367521367</v>
      </c>
      <c r="U28" s="52">
        <f t="shared" si="2"/>
        <v>0.5268817204301075</v>
      </c>
    </row>
    <row r="29" spans="1:21" x14ac:dyDescent="0.3">
      <c r="A29" s="7">
        <v>1.75</v>
      </c>
      <c r="B29" s="4">
        <v>265</v>
      </c>
      <c r="C29" s="25">
        <v>1.75</v>
      </c>
      <c r="D29" s="26">
        <v>265</v>
      </c>
      <c r="E29" s="3"/>
      <c r="F29" s="8"/>
      <c r="I29" s="15">
        <v>6.3130000000000166</v>
      </c>
      <c r="J29" s="14">
        <v>329</v>
      </c>
      <c r="K29" s="14">
        <v>242</v>
      </c>
      <c r="L29" s="3">
        <v>203</v>
      </c>
      <c r="M29" s="14">
        <f t="shared" si="0"/>
        <v>0.24150943396226415</v>
      </c>
      <c r="N29" s="8">
        <f t="shared" si="1"/>
        <v>0.35950413223140498</v>
      </c>
      <c r="O29" s="51">
        <v>6.3130000000000166</v>
      </c>
      <c r="P29" s="34">
        <v>329</v>
      </c>
      <c r="Q29" s="34">
        <v>242</v>
      </c>
      <c r="R29" s="35">
        <v>203</v>
      </c>
      <c r="S29" s="34">
        <v>0.24150943396226415</v>
      </c>
      <c r="T29" s="46">
        <v>0.35950413223140498</v>
      </c>
      <c r="U29" s="52">
        <f t="shared" si="2"/>
        <v>0.62068965517241381</v>
      </c>
    </row>
    <row r="30" spans="1:21" x14ac:dyDescent="0.3">
      <c r="A30" s="7">
        <v>1.5460000000000065</v>
      </c>
      <c r="B30" s="4">
        <v>249</v>
      </c>
      <c r="C30" s="25">
        <v>1.5460000000000065</v>
      </c>
      <c r="D30" s="26">
        <v>249</v>
      </c>
      <c r="E30" s="3"/>
      <c r="F30" s="8"/>
      <c r="I30" s="15">
        <v>6.4060000000000059</v>
      </c>
      <c r="J30" s="14">
        <v>341</v>
      </c>
      <c r="K30" s="14">
        <v>220</v>
      </c>
      <c r="L30" s="3">
        <v>220</v>
      </c>
      <c r="M30" s="14">
        <f t="shared" si="0"/>
        <v>0.36947791164658633</v>
      </c>
      <c r="N30" s="8">
        <f t="shared" si="1"/>
        <v>0.55000000000000004</v>
      </c>
      <c r="O30" s="51">
        <v>6.4060000000000059</v>
      </c>
      <c r="P30" s="34">
        <v>341</v>
      </c>
      <c r="Q30" s="34">
        <v>220</v>
      </c>
      <c r="R30" s="35">
        <v>220</v>
      </c>
      <c r="S30" s="34">
        <v>0.36947791164658633</v>
      </c>
      <c r="T30" s="46">
        <v>0.55000000000000004</v>
      </c>
      <c r="U30" s="52">
        <f t="shared" si="2"/>
        <v>0.55000000000000004</v>
      </c>
    </row>
    <row r="31" spans="1:21" x14ac:dyDescent="0.3">
      <c r="A31" s="39">
        <v>1.375</v>
      </c>
      <c r="B31" s="40">
        <v>228</v>
      </c>
      <c r="C31" s="25"/>
      <c r="D31" s="26"/>
      <c r="E31" s="3"/>
      <c r="F31" s="8"/>
      <c r="I31" s="15">
        <v>6.453000000000003</v>
      </c>
      <c r="J31" s="14">
        <v>258</v>
      </c>
      <c r="K31" s="14">
        <v>213</v>
      </c>
      <c r="L31" s="3">
        <v>199</v>
      </c>
      <c r="M31" s="14">
        <f t="shared" si="0"/>
        <v>0.13157894736842105</v>
      </c>
      <c r="N31" s="8">
        <f t="shared" si="1"/>
        <v>0.21126760563380281</v>
      </c>
      <c r="O31" s="51"/>
      <c r="P31" s="34"/>
      <c r="Q31" s="34"/>
      <c r="R31" s="35"/>
      <c r="S31" s="34"/>
      <c r="T31" s="46"/>
      <c r="U31" s="52"/>
    </row>
    <row r="32" spans="1:21" x14ac:dyDescent="0.3">
      <c r="A32" s="7">
        <v>2.4690000000000012</v>
      </c>
      <c r="B32" s="4">
        <v>208</v>
      </c>
      <c r="C32" s="25">
        <v>2.4690000000000012</v>
      </c>
      <c r="D32" s="26">
        <v>208</v>
      </c>
      <c r="E32" s="3"/>
      <c r="F32" s="8"/>
      <c r="I32" s="15">
        <v>7</v>
      </c>
      <c r="J32" s="14">
        <v>249</v>
      </c>
      <c r="K32" s="14">
        <v>201</v>
      </c>
      <c r="L32" s="3">
        <v>189</v>
      </c>
      <c r="M32" s="14">
        <f t="shared" si="0"/>
        <v>0.19711538461538461</v>
      </c>
      <c r="N32" s="8">
        <f t="shared" si="1"/>
        <v>0.23880597014925373</v>
      </c>
      <c r="O32" s="51">
        <v>7</v>
      </c>
      <c r="P32" s="34">
        <v>249</v>
      </c>
      <c r="Q32" s="34">
        <v>201</v>
      </c>
      <c r="R32" s="35">
        <v>189</v>
      </c>
      <c r="S32" s="34">
        <v>0.19711538461538461</v>
      </c>
      <c r="T32" s="46">
        <v>0.23880597014925373</v>
      </c>
      <c r="U32" s="52">
        <f t="shared" si="2"/>
        <v>0.31746031746031744</v>
      </c>
    </row>
    <row r="33" spans="1:37" ht="15" thickBot="1" x14ac:dyDescent="0.35">
      <c r="A33" s="9">
        <v>1.7189999999999941</v>
      </c>
      <c r="B33" s="10">
        <v>236</v>
      </c>
      <c r="C33" s="30">
        <v>1.7189999999999941</v>
      </c>
      <c r="D33" s="31">
        <v>236</v>
      </c>
      <c r="E33" s="11"/>
      <c r="F33" s="12"/>
      <c r="G33" s="21"/>
      <c r="H33" s="21"/>
      <c r="I33" s="16">
        <v>6.7809999999999775</v>
      </c>
      <c r="J33" s="17">
        <v>266</v>
      </c>
      <c r="K33" s="17">
        <v>235</v>
      </c>
      <c r="L33" s="11">
        <v>222</v>
      </c>
      <c r="M33" s="17">
        <f t="shared" si="0"/>
        <v>0.1271186440677966</v>
      </c>
      <c r="N33" s="12">
        <f t="shared" si="1"/>
        <v>0.13191489361702127</v>
      </c>
      <c r="O33" s="53">
        <v>6.7809999999999775</v>
      </c>
      <c r="P33" s="36">
        <v>266</v>
      </c>
      <c r="Q33" s="36">
        <v>235</v>
      </c>
      <c r="R33" s="37">
        <v>222</v>
      </c>
      <c r="S33" s="36">
        <v>0.1271186440677966</v>
      </c>
      <c r="T33" s="47">
        <v>0.13191489361702127</v>
      </c>
      <c r="U33" s="54">
        <f t="shared" si="2"/>
        <v>0.1981981981981982</v>
      </c>
    </row>
    <row r="35" spans="1:37" x14ac:dyDescent="0.3">
      <c r="W35" s="44" t="s">
        <v>21</v>
      </c>
      <c r="X35">
        <v>0.05</v>
      </c>
    </row>
    <row r="36" spans="1:37" x14ac:dyDescent="0.3">
      <c r="A36">
        <f>AVERAGE(A4:A33)</f>
        <v>2.1713793103448276</v>
      </c>
      <c r="C36">
        <f>AVERAGE(C4:C33)</f>
        <v>2.1998214285714286</v>
      </c>
      <c r="D36" t="s">
        <v>17</v>
      </c>
      <c r="I36">
        <f>AVERAGE(I4:I33)</f>
        <v>5.7905999999999995</v>
      </c>
      <c r="O36">
        <f>AVERAGE(O4:O33)</f>
        <v>5.774</v>
      </c>
      <c r="P36" t="s">
        <v>17</v>
      </c>
      <c r="V36" t="s">
        <v>26</v>
      </c>
      <c r="W36" s="44" t="s">
        <v>19</v>
      </c>
      <c r="X36">
        <f>_xlfn.T.TEST(C4:C33,O4:O33,1,3)</f>
        <v>1.8930725989037943E-12</v>
      </c>
      <c r="Y36" s="121" t="s">
        <v>22</v>
      </c>
      <c r="Z36" s="121"/>
      <c r="AA36" s="121"/>
      <c r="AB36" s="121"/>
      <c r="AC36" s="121"/>
      <c r="AD36" t="s">
        <v>24</v>
      </c>
      <c r="AE36" s="121" t="s">
        <v>23</v>
      </c>
      <c r="AF36" s="121"/>
      <c r="AG36" s="121"/>
      <c r="AH36" s="121"/>
      <c r="AI36" s="121"/>
      <c r="AJ36" s="121"/>
      <c r="AK36" s="121"/>
    </row>
    <row r="37" spans="1:37" x14ac:dyDescent="0.3">
      <c r="C37">
        <f>_xlfn.STDEV.S(C4:C33)</f>
        <v>1.6892404397324585</v>
      </c>
      <c r="D37" s="44">
        <f>C37/C36</f>
        <v>0.76789889297035208</v>
      </c>
      <c r="O37">
        <f>_xlfn.STDEV.S(O4:O33)</f>
        <v>1.1868617193004138</v>
      </c>
      <c r="P37" s="44">
        <f>O37/O36</f>
        <v>0.20555277438524661</v>
      </c>
      <c r="W37" s="44"/>
      <c r="Y37" s="121"/>
      <c r="Z37" s="121"/>
      <c r="AA37" s="121"/>
      <c r="AB37" s="121"/>
      <c r="AC37" s="121"/>
      <c r="AE37" s="121"/>
      <c r="AF37" s="121"/>
      <c r="AG37" s="121"/>
      <c r="AH37" s="121"/>
      <c r="AI37" s="121"/>
      <c r="AJ37" s="121"/>
      <c r="AK37" s="121"/>
    </row>
    <row r="59" spans="1:28" ht="15" thickBot="1" x14ac:dyDescent="0.35">
      <c r="A59" s="44" t="s">
        <v>31</v>
      </c>
      <c r="B59" s="44" t="s">
        <v>32</v>
      </c>
    </row>
    <row r="60" spans="1:28" x14ac:dyDescent="0.3">
      <c r="A60" s="118" t="s">
        <v>1</v>
      </c>
      <c r="B60" s="119"/>
      <c r="C60" s="119"/>
      <c r="D60" s="119"/>
      <c r="E60" s="119"/>
      <c r="F60" s="120"/>
      <c r="I60" s="27" t="s">
        <v>3</v>
      </c>
      <c r="J60" s="28"/>
      <c r="K60" s="28"/>
      <c r="L60" s="28"/>
      <c r="M60" s="28"/>
      <c r="N60" s="29"/>
      <c r="O60" s="22" t="s">
        <v>12</v>
      </c>
      <c r="P60" s="22"/>
      <c r="Q60" s="22"/>
      <c r="R60" s="22"/>
      <c r="S60" s="22"/>
      <c r="T60" s="22"/>
      <c r="U60" s="6"/>
    </row>
    <row r="61" spans="1:28" x14ac:dyDescent="0.3">
      <c r="A61" s="19" t="s">
        <v>11</v>
      </c>
      <c r="B61" s="2"/>
      <c r="C61" s="1" t="s">
        <v>12</v>
      </c>
      <c r="D61" s="2"/>
      <c r="E61" s="1"/>
      <c r="F61" s="18"/>
      <c r="I61" s="15" t="s">
        <v>4</v>
      </c>
      <c r="J61" s="14" t="s">
        <v>0</v>
      </c>
      <c r="K61" s="14" t="s">
        <v>7</v>
      </c>
      <c r="L61" s="3" t="s">
        <v>8</v>
      </c>
      <c r="M61" s="13" t="s">
        <v>9</v>
      </c>
      <c r="N61" s="48" t="s">
        <v>10</v>
      </c>
      <c r="O61" s="65" t="s">
        <v>4</v>
      </c>
      <c r="P61" s="48" t="s">
        <v>0</v>
      </c>
      <c r="Q61" s="48" t="s">
        <v>7</v>
      </c>
      <c r="R61" s="55" t="s">
        <v>8</v>
      </c>
      <c r="S61" s="48" t="s">
        <v>9</v>
      </c>
      <c r="T61" s="55" t="s">
        <v>10</v>
      </c>
      <c r="U61" s="69" t="s">
        <v>18</v>
      </c>
      <c r="W61" t="s">
        <v>15</v>
      </c>
      <c r="X61">
        <f>SQRT(29)</f>
        <v>5.3851648071345037</v>
      </c>
    </row>
    <row r="62" spans="1:28" ht="15" thickBot="1" x14ac:dyDescent="0.35">
      <c r="A62" s="19">
        <v>155</v>
      </c>
      <c r="B62" s="2">
        <v>9.2999999999999999E-2</v>
      </c>
      <c r="C62" s="23">
        <v>155</v>
      </c>
      <c r="D62" s="24">
        <v>9.2999999999999999E-2</v>
      </c>
      <c r="E62" s="1"/>
      <c r="F62" s="18"/>
      <c r="I62" s="20">
        <v>1.141</v>
      </c>
      <c r="J62" s="13">
        <v>168</v>
      </c>
      <c r="K62" s="2">
        <v>155</v>
      </c>
      <c r="L62" s="1">
        <v>146</v>
      </c>
      <c r="M62" s="13">
        <f t="shared" ref="M62:M91" si="9">(J62-C62)/C62</f>
        <v>8.387096774193549E-2</v>
      </c>
      <c r="N62" s="8">
        <f>(J62-K62)/K62</f>
        <v>8.387096774193549E-2</v>
      </c>
      <c r="O62" s="66">
        <v>1.141</v>
      </c>
      <c r="P62" s="32">
        <v>168</v>
      </c>
      <c r="Q62" s="32">
        <v>155</v>
      </c>
      <c r="R62" s="33">
        <v>146</v>
      </c>
      <c r="S62" s="32">
        <v>8.387096774193549E-2</v>
      </c>
      <c r="T62" s="45">
        <v>8.387096774193549E-2</v>
      </c>
      <c r="U62" s="50">
        <f>(P62-R62)/R62</f>
        <v>0.15068493150684931</v>
      </c>
      <c r="Y62" t="s">
        <v>16</v>
      </c>
      <c r="Z62" t="s">
        <v>44</v>
      </c>
      <c r="AA62" t="s">
        <v>8</v>
      </c>
    </row>
    <row r="63" spans="1:28" x14ac:dyDescent="0.3">
      <c r="A63" s="7">
        <v>179</v>
      </c>
      <c r="B63" s="4">
        <v>6.2E-2</v>
      </c>
      <c r="C63" s="25">
        <v>179</v>
      </c>
      <c r="D63" s="26">
        <v>6.2E-2</v>
      </c>
      <c r="E63" s="3"/>
      <c r="F63" s="8"/>
      <c r="I63" s="15">
        <v>1.4060000000000001</v>
      </c>
      <c r="J63" s="14">
        <v>186</v>
      </c>
      <c r="K63" s="4">
        <v>163</v>
      </c>
      <c r="L63" s="3">
        <v>156</v>
      </c>
      <c r="M63" s="14">
        <f t="shared" si="9"/>
        <v>3.9106145251396648E-2</v>
      </c>
      <c r="N63" s="8">
        <f t="shared" ref="N63:N91" si="10">(J63-K63)/K63</f>
        <v>0.1411042944785276</v>
      </c>
      <c r="O63" s="67">
        <v>1.4060000000000001</v>
      </c>
      <c r="P63" s="34">
        <v>186</v>
      </c>
      <c r="Q63" s="34">
        <v>163</v>
      </c>
      <c r="R63" s="35">
        <v>156</v>
      </c>
      <c r="S63" s="34">
        <v>3.9106145251396648E-2</v>
      </c>
      <c r="T63" s="46">
        <v>0.1411042944785276</v>
      </c>
      <c r="U63" s="52">
        <f t="shared" ref="U63:U71" si="11">(P63-R63)/R63</f>
        <v>0.19230769230769232</v>
      </c>
      <c r="W63" s="5">
        <v>0</v>
      </c>
      <c r="X63" s="22">
        <f t="shared" ref="X63:X68" si="12">W63+0.1</f>
        <v>0.1</v>
      </c>
      <c r="Y63" s="59">
        <f>COUNTIFS($S$62:$S$91,"&lt;"&amp;X63,$S$62:$S$91,"&gt;="&amp;W63)/30</f>
        <v>0.56666666666666665</v>
      </c>
      <c r="Z63" s="56">
        <f>COUNTIFS($T$62:$T$91,"&lt;"&amp;X63,$T$62:$T$91,"&gt;="&amp;W63)/30</f>
        <v>0.16666666666666666</v>
      </c>
      <c r="AA63" s="62">
        <f>COUNTIFS($U$62:$U$91,"&lt;"&amp;X63,$U$62:$U$91,"&gt;="&amp;W63)/30</f>
        <v>0</v>
      </c>
      <c r="AB63" s="6" t="str">
        <f>_xlfn.CONCAT(TEXT(W63,"0.00"),"-",TEXT(X63,"0.00"))</f>
        <v>0.00-0.10</v>
      </c>
    </row>
    <row r="64" spans="1:28" x14ac:dyDescent="0.3">
      <c r="A64" s="7">
        <v>180</v>
      </c>
      <c r="B64" s="4">
        <v>0.156</v>
      </c>
      <c r="C64" s="25">
        <v>180</v>
      </c>
      <c r="D64" s="26">
        <v>0.156</v>
      </c>
      <c r="E64" s="3"/>
      <c r="F64" s="8"/>
      <c r="I64" s="15">
        <v>1.5470000000000002</v>
      </c>
      <c r="J64" s="14">
        <v>184</v>
      </c>
      <c r="K64" s="4">
        <v>167</v>
      </c>
      <c r="L64" s="3">
        <v>136</v>
      </c>
      <c r="M64" s="14">
        <f t="shared" si="9"/>
        <v>2.2222222222222223E-2</v>
      </c>
      <c r="N64" s="8">
        <f t="shared" si="10"/>
        <v>0.10179640718562874</v>
      </c>
      <c r="O64" s="67">
        <v>1.5470000000000002</v>
      </c>
      <c r="P64" s="34">
        <v>184</v>
      </c>
      <c r="Q64" s="34">
        <v>167</v>
      </c>
      <c r="R64" s="35">
        <v>136</v>
      </c>
      <c r="S64" s="34">
        <v>2.2222222222222223E-2</v>
      </c>
      <c r="T64" s="46">
        <v>0.10179640718562874</v>
      </c>
      <c r="U64" s="52">
        <f t="shared" si="11"/>
        <v>0.35294117647058826</v>
      </c>
      <c r="W64" s="7">
        <f t="shared" ref="W64:W69" si="13">X63</f>
        <v>0.1</v>
      </c>
      <c r="X64">
        <f t="shared" si="12"/>
        <v>0.2</v>
      </c>
      <c r="Y64" s="60">
        <f t="shared" ref="Y64:Y69" si="14">COUNTIFS($S$62:$S$91,"&lt;"&amp;X64,$S$62:$S$91,"&gt;="&amp;W64)/30</f>
        <v>0.3</v>
      </c>
      <c r="Z64" s="57">
        <f t="shared" ref="Z64:Z69" si="15">COUNTIFS($T$62:$T$91,"&lt;"&amp;X64,$T$62:$T$91,"&gt;="&amp;W64)/30</f>
        <v>0.36666666666666664</v>
      </c>
      <c r="AA64" s="63">
        <f t="shared" ref="AA64:AA69" si="16">COUNTIFS($U$62:$U$91,"&lt;"&amp;X64,$U$62:$U$91,"&gt;="&amp;W64)/30</f>
        <v>0.16666666666666666</v>
      </c>
      <c r="AB64" s="8" t="str">
        <f t="shared" ref="AB64:AB69" si="17">_xlfn.CONCAT(TEXT(W64,"0.00"),"-",TEXT(X64,"0.00"))</f>
        <v>0.10-0.20</v>
      </c>
    </row>
    <row r="65" spans="1:32" x14ac:dyDescent="0.3">
      <c r="A65" s="7">
        <v>164</v>
      </c>
      <c r="B65" s="4">
        <v>6.2E-2</v>
      </c>
      <c r="C65" s="25">
        <v>164</v>
      </c>
      <c r="D65" s="26">
        <v>6.2E-2</v>
      </c>
      <c r="E65" s="3"/>
      <c r="F65" s="8"/>
      <c r="I65" s="15">
        <v>1.734</v>
      </c>
      <c r="J65" s="14">
        <v>173</v>
      </c>
      <c r="K65" s="4">
        <v>152</v>
      </c>
      <c r="L65" s="3">
        <v>146</v>
      </c>
      <c r="M65" s="14">
        <f t="shared" si="9"/>
        <v>5.4878048780487805E-2</v>
      </c>
      <c r="N65" s="8">
        <f t="shared" si="10"/>
        <v>0.13815789473684212</v>
      </c>
      <c r="O65" s="67">
        <v>1.734</v>
      </c>
      <c r="P65" s="34">
        <v>173</v>
      </c>
      <c r="Q65" s="34">
        <v>152</v>
      </c>
      <c r="R65" s="35">
        <v>146</v>
      </c>
      <c r="S65" s="34">
        <v>5.4878048780487805E-2</v>
      </c>
      <c r="T65" s="46">
        <v>0.13815789473684212</v>
      </c>
      <c r="U65" s="52">
        <f t="shared" si="11"/>
        <v>0.18493150684931506</v>
      </c>
      <c r="W65" s="7">
        <f t="shared" si="13"/>
        <v>0.2</v>
      </c>
      <c r="X65">
        <f t="shared" si="12"/>
        <v>0.30000000000000004</v>
      </c>
      <c r="Y65" s="60">
        <f t="shared" si="14"/>
        <v>0.13333333333333333</v>
      </c>
      <c r="Z65" s="57">
        <f t="shared" si="15"/>
        <v>0.23333333333333334</v>
      </c>
      <c r="AA65" s="63">
        <f t="shared" si="16"/>
        <v>0.1</v>
      </c>
      <c r="AB65" s="8" t="str">
        <f t="shared" si="17"/>
        <v>0.20-0.30</v>
      </c>
    </row>
    <row r="66" spans="1:32" x14ac:dyDescent="0.3">
      <c r="A66" s="7">
        <v>182</v>
      </c>
      <c r="B66" s="4">
        <v>4.6999999999999986E-2</v>
      </c>
      <c r="C66" s="25">
        <v>182</v>
      </c>
      <c r="D66" s="26">
        <v>4.6999999999999986E-2</v>
      </c>
      <c r="E66" s="3"/>
      <c r="F66" s="8"/>
      <c r="I66" s="15">
        <v>1.7809999999999997</v>
      </c>
      <c r="J66" s="14">
        <v>224</v>
      </c>
      <c r="K66" s="4">
        <v>172</v>
      </c>
      <c r="L66" s="3">
        <v>156</v>
      </c>
      <c r="M66" s="14">
        <f t="shared" si="9"/>
        <v>0.23076923076923078</v>
      </c>
      <c r="N66" s="8">
        <f t="shared" si="10"/>
        <v>0.30232558139534882</v>
      </c>
      <c r="O66" s="67">
        <v>1.7809999999999997</v>
      </c>
      <c r="P66" s="34">
        <v>224</v>
      </c>
      <c r="Q66" s="34">
        <v>172</v>
      </c>
      <c r="R66" s="35">
        <v>156</v>
      </c>
      <c r="S66" s="34">
        <v>0.23076923076923078</v>
      </c>
      <c r="T66" s="46">
        <v>0.30232558139534882</v>
      </c>
      <c r="U66" s="52">
        <f t="shared" si="11"/>
        <v>0.4358974358974359</v>
      </c>
      <c r="W66" s="7">
        <f t="shared" si="13"/>
        <v>0.30000000000000004</v>
      </c>
      <c r="X66">
        <f t="shared" si="12"/>
        <v>0.4</v>
      </c>
      <c r="Y66" s="60">
        <f t="shared" si="14"/>
        <v>0</v>
      </c>
      <c r="Z66" s="57">
        <f t="shared" si="15"/>
        <v>0.2</v>
      </c>
      <c r="AA66" s="63">
        <f t="shared" si="16"/>
        <v>0.4</v>
      </c>
      <c r="AB66" s="8" t="str">
        <f t="shared" si="17"/>
        <v>0.30-0.40</v>
      </c>
      <c r="AD66">
        <f>AVERAGE(S62:S91)</f>
        <v>0.11027205193232725</v>
      </c>
      <c r="AE66">
        <f>AVERAGE(T62:T91)</f>
        <v>0.20673585019658247</v>
      </c>
      <c r="AF66">
        <f>AVERAGE(U62:U91)</f>
        <v>0.35185129036196233</v>
      </c>
    </row>
    <row r="67" spans="1:32" x14ac:dyDescent="0.3">
      <c r="A67" s="7">
        <v>174</v>
      </c>
      <c r="B67" s="4">
        <v>6.2E-2</v>
      </c>
      <c r="C67" s="25">
        <v>174</v>
      </c>
      <c r="D67" s="26">
        <v>6.2E-2</v>
      </c>
      <c r="E67" s="3"/>
      <c r="F67" s="8"/>
      <c r="I67" s="15">
        <v>1.657</v>
      </c>
      <c r="J67" s="14">
        <v>195</v>
      </c>
      <c r="K67" s="4">
        <v>154</v>
      </c>
      <c r="L67" s="3">
        <v>141</v>
      </c>
      <c r="M67" s="14">
        <f t="shared" si="9"/>
        <v>0.1206896551724138</v>
      </c>
      <c r="N67" s="8">
        <f t="shared" si="10"/>
        <v>0.26623376623376621</v>
      </c>
      <c r="O67" s="67">
        <v>1.657</v>
      </c>
      <c r="P67" s="34">
        <v>195</v>
      </c>
      <c r="Q67" s="34">
        <v>154</v>
      </c>
      <c r="R67" s="35">
        <v>141</v>
      </c>
      <c r="S67" s="34">
        <v>0.1206896551724138</v>
      </c>
      <c r="T67" s="46">
        <v>0.26623376623376621</v>
      </c>
      <c r="U67" s="52">
        <f t="shared" si="11"/>
        <v>0.38297872340425532</v>
      </c>
      <c r="W67" s="7">
        <f t="shared" si="13"/>
        <v>0.4</v>
      </c>
      <c r="X67">
        <f t="shared" si="12"/>
        <v>0.5</v>
      </c>
      <c r="Y67" s="60">
        <f t="shared" si="14"/>
        <v>0</v>
      </c>
      <c r="Z67" s="57">
        <f t="shared" si="15"/>
        <v>3.3333333333333333E-2</v>
      </c>
      <c r="AA67" s="63">
        <f t="shared" si="16"/>
        <v>0.26666666666666666</v>
      </c>
      <c r="AB67" s="8" t="str">
        <f t="shared" si="17"/>
        <v>0.40-0.50</v>
      </c>
    </row>
    <row r="68" spans="1:32" x14ac:dyDescent="0.3">
      <c r="A68" s="7">
        <v>177</v>
      </c>
      <c r="B68" s="4">
        <v>6.2000000000000055E-2</v>
      </c>
      <c r="C68" s="25">
        <v>177</v>
      </c>
      <c r="D68" s="26">
        <v>6.2000000000000055E-2</v>
      </c>
      <c r="E68" s="3"/>
      <c r="F68" s="8"/>
      <c r="I68" s="15">
        <v>1.6709999999999994</v>
      </c>
      <c r="J68" s="14">
        <v>198</v>
      </c>
      <c r="K68" s="4">
        <v>170</v>
      </c>
      <c r="L68" s="3">
        <v>136</v>
      </c>
      <c r="M68" s="14">
        <f t="shared" si="9"/>
        <v>0.11864406779661017</v>
      </c>
      <c r="N68" s="8">
        <f t="shared" si="10"/>
        <v>0.16470588235294117</v>
      </c>
      <c r="O68" s="67">
        <v>1.6709999999999994</v>
      </c>
      <c r="P68" s="34">
        <v>198</v>
      </c>
      <c r="Q68" s="34">
        <v>170</v>
      </c>
      <c r="R68" s="35">
        <v>136</v>
      </c>
      <c r="S68" s="34">
        <v>0.11864406779661017</v>
      </c>
      <c r="T68" s="46">
        <v>0.16470588235294117</v>
      </c>
      <c r="U68" s="52">
        <f t="shared" si="11"/>
        <v>0.45588235294117646</v>
      </c>
      <c r="W68" s="7">
        <f t="shared" si="13"/>
        <v>0.5</v>
      </c>
      <c r="X68">
        <f t="shared" si="12"/>
        <v>0.6</v>
      </c>
      <c r="Y68" s="60">
        <f t="shared" si="14"/>
        <v>0</v>
      </c>
      <c r="Z68" s="57">
        <f t="shared" si="15"/>
        <v>0</v>
      </c>
      <c r="AA68" s="63">
        <f t="shared" si="16"/>
        <v>0</v>
      </c>
      <c r="AB68" s="8" t="str">
        <f t="shared" si="17"/>
        <v>0.50-0.60</v>
      </c>
    </row>
    <row r="69" spans="1:32" ht="15" thickBot="1" x14ac:dyDescent="0.35">
      <c r="A69" s="7">
        <v>187</v>
      </c>
      <c r="B69" s="4">
        <v>0.15599999999999992</v>
      </c>
      <c r="C69" s="25">
        <v>187</v>
      </c>
      <c r="D69" s="26">
        <v>0.15599999999999992</v>
      </c>
      <c r="E69" s="3"/>
      <c r="F69" s="8"/>
      <c r="I69" s="15">
        <v>1.7040000000000006</v>
      </c>
      <c r="J69" s="14">
        <v>219</v>
      </c>
      <c r="K69" s="4">
        <v>163</v>
      </c>
      <c r="L69" s="3">
        <v>151</v>
      </c>
      <c r="M69" s="14">
        <f t="shared" si="9"/>
        <v>0.17112299465240641</v>
      </c>
      <c r="N69" s="8">
        <f t="shared" si="10"/>
        <v>0.34355828220858897</v>
      </c>
      <c r="O69" s="67">
        <v>1.7040000000000006</v>
      </c>
      <c r="P69" s="34">
        <v>219</v>
      </c>
      <c r="Q69" s="34">
        <v>163</v>
      </c>
      <c r="R69" s="35">
        <v>151</v>
      </c>
      <c r="S69" s="34">
        <v>0.17112299465240641</v>
      </c>
      <c r="T69" s="46">
        <v>0.34355828220858897</v>
      </c>
      <c r="U69" s="52">
        <f t="shared" si="11"/>
        <v>0.45033112582781459</v>
      </c>
      <c r="W69" s="9">
        <f t="shared" si="13"/>
        <v>0.6</v>
      </c>
      <c r="X69" s="38">
        <f>1</f>
        <v>1</v>
      </c>
      <c r="Y69" s="61">
        <f t="shared" si="14"/>
        <v>0</v>
      </c>
      <c r="Z69" s="58">
        <f t="shared" si="15"/>
        <v>0</v>
      </c>
      <c r="AA69" s="64">
        <f t="shared" si="16"/>
        <v>6.6666666666666666E-2</v>
      </c>
      <c r="AB69" s="12" t="str">
        <f t="shared" si="17"/>
        <v>0.60-1.00</v>
      </c>
    </row>
    <row r="70" spans="1:32" x14ac:dyDescent="0.3">
      <c r="A70" s="7">
        <v>165</v>
      </c>
      <c r="B70" s="4">
        <v>0.125</v>
      </c>
      <c r="C70" s="25">
        <v>165</v>
      </c>
      <c r="D70" s="26">
        <v>0.125</v>
      </c>
      <c r="E70" s="3"/>
      <c r="F70" s="8"/>
      <c r="I70" s="15">
        <v>1.7029999999999994</v>
      </c>
      <c r="J70" s="14">
        <v>187</v>
      </c>
      <c r="K70" s="4">
        <v>145</v>
      </c>
      <c r="L70" s="3">
        <v>138</v>
      </c>
      <c r="M70" s="14">
        <f t="shared" si="9"/>
        <v>0.13333333333333333</v>
      </c>
      <c r="N70" s="8">
        <f t="shared" si="10"/>
        <v>0.28965517241379313</v>
      </c>
      <c r="O70" s="67">
        <v>1.7029999999999994</v>
      </c>
      <c r="P70" s="34">
        <v>187</v>
      </c>
      <c r="Q70" s="34">
        <v>145</v>
      </c>
      <c r="R70" s="35">
        <v>138</v>
      </c>
      <c r="S70" s="34">
        <v>0.13333333333333333</v>
      </c>
      <c r="T70" s="46">
        <v>0.28965517241379313</v>
      </c>
      <c r="U70" s="52">
        <f t="shared" si="11"/>
        <v>0.35507246376811596</v>
      </c>
      <c r="Y70">
        <v>30</v>
      </c>
      <c r="Z70">
        <v>30</v>
      </c>
    </row>
    <row r="71" spans="1:32" x14ac:dyDescent="0.3">
      <c r="A71" s="7">
        <v>170</v>
      </c>
      <c r="B71" s="4">
        <v>0.125</v>
      </c>
      <c r="C71" s="25">
        <v>170</v>
      </c>
      <c r="D71" s="26">
        <v>0.125</v>
      </c>
      <c r="E71" s="3"/>
      <c r="F71" s="8"/>
      <c r="I71" s="15">
        <v>1.625</v>
      </c>
      <c r="J71" s="14">
        <v>188</v>
      </c>
      <c r="K71" s="4">
        <v>148</v>
      </c>
      <c r="L71" s="3">
        <v>141</v>
      </c>
      <c r="M71" s="14">
        <f t="shared" si="9"/>
        <v>0.10588235294117647</v>
      </c>
      <c r="N71" s="8">
        <f t="shared" si="10"/>
        <v>0.27027027027027029</v>
      </c>
      <c r="O71" s="67">
        <v>1.625</v>
      </c>
      <c r="P71" s="34">
        <v>188</v>
      </c>
      <c r="Q71" s="34">
        <v>148</v>
      </c>
      <c r="R71" s="35">
        <v>141</v>
      </c>
      <c r="S71" s="34">
        <v>0.10588235294117647</v>
      </c>
      <c r="T71" s="46">
        <v>0.27027027027027029</v>
      </c>
      <c r="U71" s="52">
        <f t="shared" si="11"/>
        <v>0.33333333333333331</v>
      </c>
      <c r="Y71">
        <f>SUM(Y63:Y69)</f>
        <v>1</v>
      </c>
      <c r="Z71">
        <f>SUM(Z63:Z69)</f>
        <v>0.99999999999999989</v>
      </c>
      <c r="AA71">
        <f>SUM(AA63:AA69)</f>
        <v>1</v>
      </c>
    </row>
    <row r="72" spans="1:32" x14ac:dyDescent="0.3">
      <c r="A72" s="7">
        <v>189</v>
      </c>
      <c r="B72" s="4">
        <v>9.4000000000000083E-2</v>
      </c>
      <c r="C72" s="25">
        <v>189</v>
      </c>
      <c r="D72" s="26">
        <v>9.4000000000000083E-2</v>
      </c>
      <c r="E72" s="3"/>
      <c r="F72" s="8"/>
      <c r="I72" s="15">
        <v>1.6719999999999988</v>
      </c>
      <c r="J72" s="14">
        <v>190</v>
      </c>
      <c r="K72" s="4">
        <v>177</v>
      </c>
      <c r="L72" s="3">
        <v>164</v>
      </c>
      <c r="M72" s="14">
        <f t="shared" si="9"/>
        <v>5.2910052910052907E-3</v>
      </c>
      <c r="N72" s="8">
        <f t="shared" si="10"/>
        <v>7.3446327683615822E-2</v>
      </c>
      <c r="O72" s="67">
        <v>1.6719999999999988</v>
      </c>
      <c r="P72" s="34">
        <v>190</v>
      </c>
      <c r="Q72" s="34">
        <v>177</v>
      </c>
      <c r="R72" s="35">
        <v>164</v>
      </c>
      <c r="S72" s="34">
        <v>5.2910052910052907E-3</v>
      </c>
      <c r="T72" s="46">
        <v>7.3446327683615822E-2</v>
      </c>
      <c r="U72" s="52">
        <f>(P72-R72)/R72</f>
        <v>0.15853658536585366</v>
      </c>
    </row>
    <row r="73" spans="1:32" x14ac:dyDescent="0.3">
      <c r="A73" s="7">
        <v>169</v>
      </c>
      <c r="B73" s="4">
        <v>0.18700000000000006</v>
      </c>
      <c r="C73" s="25">
        <v>169</v>
      </c>
      <c r="D73" s="26">
        <v>0.18700000000000006</v>
      </c>
      <c r="E73" s="3"/>
      <c r="F73" s="8"/>
      <c r="I73" s="15">
        <v>1.6710000000000029</v>
      </c>
      <c r="J73" s="14">
        <v>208</v>
      </c>
      <c r="K73" s="4">
        <v>156</v>
      </c>
      <c r="L73" s="3">
        <v>142</v>
      </c>
      <c r="M73" s="14">
        <f t="shared" si="9"/>
        <v>0.23076923076923078</v>
      </c>
      <c r="N73" s="8">
        <f t="shared" si="10"/>
        <v>0.33333333333333331</v>
      </c>
      <c r="O73" s="67">
        <v>1.6710000000000029</v>
      </c>
      <c r="P73" s="46">
        <v>208</v>
      </c>
      <c r="Q73" s="34">
        <v>156</v>
      </c>
      <c r="R73" s="35">
        <v>142</v>
      </c>
      <c r="S73" s="34">
        <v>0.23076923076923078</v>
      </c>
      <c r="T73" s="46">
        <v>0.33333333333333331</v>
      </c>
      <c r="U73" s="52">
        <f>(P73-R73)/R73</f>
        <v>0.46478873239436619</v>
      </c>
    </row>
    <row r="74" spans="1:32" x14ac:dyDescent="0.3">
      <c r="A74" s="7">
        <v>173</v>
      </c>
      <c r="B74" s="4">
        <v>0.1399999999999999</v>
      </c>
      <c r="C74" s="25">
        <v>173</v>
      </c>
      <c r="D74" s="26">
        <v>0.1399999999999999</v>
      </c>
      <c r="E74" s="3"/>
      <c r="F74" s="8"/>
      <c r="I74" s="15">
        <v>1.6409999999999982</v>
      </c>
      <c r="J74" s="14">
        <v>201</v>
      </c>
      <c r="K74" s="4">
        <v>146</v>
      </c>
      <c r="L74" s="3">
        <v>135</v>
      </c>
      <c r="M74" s="14">
        <f t="shared" si="9"/>
        <v>0.16184971098265896</v>
      </c>
      <c r="N74" s="8">
        <f t="shared" si="10"/>
        <v>0.37671232876712329</v>
      </c>
      <c r="O74" s="67">
        <v>1.6409999999999982</v>
      </c>
      <c r="P74" s="34">
        <v>201</v>
      </c>
      <c r="Q74" s="34">
        <v>146</v>
      </c>
      <c r="R74" s="35">
        <v>135</v>
      </c>
      <c r="S74" s="34">
        <v>0.16184971098265896</v>
      </c>
      <c r="T74" s="46">
        <v>0.37671232876712329</v>
      </c>
      <c r="U74" s="52">
        <f t="shared" ref="U74:U80" si="18">(P74-R74)/R74</f>
        <v>0.48888888888888887</v>
      </c>
    </row>
    <row r="75" spans="1:32" x14ac:dyDescent="0.3">
      <c r="A75" s="7">
        <v>173</v>
      </c>
      <c r="B75" s="4">
        <v>0.10899999999999999</v>
      </c>
      <c r="C75" s="25">
        <v>173</v>
      </c>
      <c r="D75" s="26">
        <v>0.10899999999999999</v>
      </c>
      <c r="E75" s="3"/>
      <c r="F75" s="8"/>
      <c r="I75" s="15">
        <v>1.7970000000000006</v>
      </c>
      <c r="J75" s="14">
        <v>183</v>
      </c>
      <c r="K75" s="4">
        <v>168</v>
      </c>
      <c r="L75" s="3">
        <v>135</v>
      </c>
      <c r="M75" s="14">
        <f t="shared" si="9"/>
        <v>5.7803468208092484E-2</v>
      </c>
      <c r="N75" s="8">
        <f t="shared" si="10"/>
        <v>8.9285714285714288E-2</v>
      </c>
      <c r="O75" s="67">
        <v>1.7970000000000006</v>
      </c>
      <c r="P75" s="34">
        <v>183</v>
      </c>
      <c r="Q75" s="34">
        <v>168</v>
      </c>
      <c r="R75" s="35">
        <v>135</v>
      </c>
      <c r="S75" s="34">
        <v>5.7803468208092484E-2</v>
      </c>
      <c r="T75" s="46">
        <v>8.9285714285714288E-2</v>
      </c>
      <c r="U75" s="52">
        <f t="shared" si="18"/>
        <v>0.35555555555555557</v>
      </c>
    </row>
    <row r="76" spans="1:32" x14ac:dyDescent="0.3">
      <c r="A76" s="7">
        <v>192</v>
      </c>
      <c r="B76" s="4">
        <v>0.18700000000000006</v>
      </c>
      <c r="C76" s="25">
        <v>192</v>
      </c>
      <c r="D76" s="26">
        <v>0.18700000000000006</v>
      </c>
      <c r="E76" s="3"/>
      <c r="F76" s="8"/>
      <c r="I76" s="15">
        <v>1.7029999999999994</v>
      </c>
      <c r="J76" s="14">
        <v>229</v>
      </c>
      <c r="K76" s="4">
        <v>171</v>
      </c>
      <c r="L76" s="3">
        <v>143</v>
      </c>
      <c r="M76" s="14">
        <f t="shared" si="9"/>
        <v>0.19270833333333334</v>
      </c>
      <c r="N76" s="8">
        <f t="shared" si="10"/>
        <v>0.33918128654970758</v>
      </c>
      <c r="O76" s="67">
        <v>1.7029999999999994</v>
      </c>
      <c r="P76" s="34">
        <v>229</v>
      </c>
      <c r="Q76" s="34">
        <v>171</v>
      </c>
      <c r="R76" s="35">
        <v>143</v>
      </c>
      <c r="S76" s="34">
        <v>0.19270833333333334</v>
      </c>
      <c r="T76" s="46">
        <v>0.33918128654970758</v>
      </c>
      <c r="U76" s="52">
        <f t="shared" si="18"/>
        <v>0.60139860139860135</v>
      </c>
    </row>
    <row r="77" spans="1:32" x14ac:dyDescent="0.3">
      <c r="A77" s="7">
        <v>183</v>
      </c>
      <c r="B77" s="4">
        <v>4.6999999999999931E-2</v>
      </c>
      <c r="C77" s="25">
        <v>183</v>
      </c>
      <c r="D77" s="26">
        <v>4.6999999999999931E-2</v>
      </c>
      <c r="E77" s="3"/>
      <c r="F77" s="8"/>
      <c r="I77" s="15">
        <v>1.6410000000000018</v>
      </c>
      <c r="J77" s="14">
        <v>193</v>
      </c>
      <c r="K77" s="4">
        <v>170</v>
      </c>
      <c r="L77" s="3">
        <v>166</v>
      </c>
      <c r="M77" s="14">
        <f t="shared" si="9"/>
        <v>5.4644808743169397E-2</v>
      </c>
      <c r="N77" s="8">
        <f t="shared" si="10"/>
        <v>0.13529411764705881</v>
      </c>
      <c r="O77" s="67">
        <v>1.6410000000000018</v>
      </c>
      <c r="P77" s="34">
        <v>193</v>
      </c>
      <c r="Q77" s="34">
        <v>170</v>
      </c>
      <c r="R77" s="35">
        <v>166</v>
      </c>
      <c r="S77" s="34">
        <v>5.4644808743169397E-2</v>
      </c>
      <c r="T77" s="46">
        <v>0.13529411764705881</v>
      </c>
      <c r="U77" s="52">
        <f t="shared" si="18"/>
        <v>0.16265060240963855</v>
      </c>
    </row>
    <row r="78" spans="1:32" x14ac:dyDescent="0.3">
      <c r="A78" s="7">
        <v>171</v>
      </c>
      <c r="B78" s="4">
        <v>0.20300000000000007</v>
      </c>
      <c r="C78" s="25">
        <v>171</v>
      </c>
      <c r="D78" s="26">
        <v>0.20300000000000007</v>
      </c>
      <c r="E78" s="3"/>
      <c r="F78" s="8"/>
      <c r="I78" s="15">
        <v>1.6400000000000006</v>
      </c>
      <c r="J78" s="14">
        <v>211</v>
      </c>
      <c r="K78" s="4">
        <v>147</v>
      </c>
      <c r="L78" s="3">
        <v>128</v>
      </c>
      <c r="M78" s="14">
        <f t="shared" si="9"/>
        <v>0.23391812865497075</v>
      </c>
      <c r="N78" s="8">
        <f t="shared" si="10"/>
        <v>0.43537414965986393</v>
      </c>
      <c r="O78" s="67">
        <v>1.6400000000000006</v>
      </c>
      <c r="P78" s="34">
        <v>211</v>
      </c>
      <c r="Q78" s="34">
        <v>147</v>
      </c>
      <c r="R78" s="35">
        <v>128</v>
      </c>
      <c r="S78" s="34">
        <v>0.23391812865497075</v>
      </c>
      <c r="T78" s="46">
        <v>0.43537414965986393</v>
      </c>
      <c r="U78" s="52">
        <f t="shared" si="18"/>
        <v>0.6484375</v>
      </c>
    </row>
    <row r="79" spans="1:32" x14ac:dyDescent="0.3">
      <c r="A79" s="7">
        <v>144</v>
      </c>
      <c r="B79" s="4">
        <v>6.2999999999999945E-2</v>
      </c>
      <c r="C79" s="25">
        <v>144</v>
      </c>
      <c r="D79" s="26">
        <v>6.2999999999999945E-2</v>
      </c>
      <c r="E79" s="3"/>
      <c r="F79" s="8"/>
      <c r="I79" s="15">
        <v>1.6879999999999988</v>
      </c>
      <c r="J79" s="14">
        <v>156</v>
      </c>
      <c r="K79" s="4">
        <v>136</v>
      </c>
      <c r="L79" s="3">
        <v>128</v>
      </c>
      <c r="M79" s="14">
        <f t="shared" si="9"/>
        <v>8.3333333333333329E-2</v>
      </c>
      <c r="N79" s="8">
        <f t="shared" si="10"/>
        <v>0.14705882352941177</v>
      </c>
      <c r="O79" s="67">
        <v>1.6879999999999988</v>
      </c>
      <c r="P79" s="34">
        <v>156</v>
      </c>
      <c r="Q79" s="34">
        <v>136</v>
      </c>
      <c r="R79" s="35">
        <v>128</v>
      </c>
      <c r="S79" s="34">
        <v>8.3333333333333329E-2</v>
      </c>
      <c r="T79" s="46">
        <v>0.14705882352941177</v>
      </c>
      <c r="U79" s="52">
        <f t="shared" si="18"/>
        <v>0.21875</v>
      </c>
    </row>
    <row r="80" spans="1:32" x14ac:dyDescent="0.3">
      <c r="A80" s="7">
        <v>165</v>
      </c>
      <c r="B80" s="4">
        <v>6.3000000000000167E-2</v>
      </c>
      <c r="C80" s="25">
        <v>165</v>
      </c>
      <c r="D80" s="26">
        <v>6.3000000000000167E-2</v>
      </c>
      <c r="E80" s="3"/>
      <c r="F80" s="8"/>
      <c r="I80" s="15">
        <v>1.6089999999999982</v>
      </c>
      <c r="J80" s="14">
        <v>180</v>
      </c>
      <c r="K80" s="4">
        <v>154</v>
      </c>
      <c r="L80" s="3">
        <v>143</v>
      </c>
      <c r="M80" s="14">
        <f t="shared" si="9"/>
        <v>9.0909090909090912E-2</v>
      </c>
      <c r="N80" s="8">
        <f t="shared" si="10"/>
        <v>0.16883116883116883</v>
      </c>
      <c r="O80" s="67">
        <v>1.6089999999999982</v>
      </c>
      <c r="P80" s="34">
        <v>180</v>
      </c>
      <c r="Q80" s="34">
        <v>154</v>
      </c>
      <c r="R80" s="35">
        <v>143</v>
      </c>
      <c r="S80" s="34">
        <v>9.0909090909090912E-2</v>
      </c>
      <c r="T80" s="46">
        <v>0.16883116883116883</v>
      </c>
      <c r="U80" s="52">
        <f t="shared" si="18"/>
        <v>0.25874125874125875</v>
      </c>
    </row>
    <row r="81" spans="1:37" x14ac:dyDescent="0.3">
      <c r="A81" s="7">
        <v>195</v>
      </c>
      <c r="B81" s="4">
        <v>0.17199999999999971</v>
      </c>
      <c r="C81" s="25">
        <v>195</v>
      </c>
      <c r="D81" s="26">
        <v>0.17199999999999971</v>
      </c>
      <c r="E81" s="3"/>
      <c r="F81" s="8"/>
      <c r="I81" s="15">
        <v>1.6720000000000041</v>
      </c>
      <c r="J81" s="14">
        <v>198</v>
      </c>
      <c r="K81" s="4">
        <v>194</v>
      </c>
      <c r="L81" s="3">
        <v>147</v>
      </c>
      <c r="M81" s="14">
        <f t="shared" si="9"/>
        <v>1.5384615384615385E-2</v>
      </c>
      <c r="N81" s="8">
        <f t="shared" si="10"/>
        <v>2.0618556701030927E-2</v>
      </c>
      <c r="O81" s="67">
        <v>1.6720000000000041</v>
      </c>
      <c r="P81" s="34">
        <v>198</v>
      </c>
      <c r="Q81" s="34">
        <v>194</v>
      </c>
      <c r="R81" s="35">
        <v>147</v>
      </c>
      <c r="S81" s="34">
        <v>1.5384615384615385E-2</v>
      </c>
      <c r="T81" s="46">
        <v>2.0618556701030927E-2</v>
      </c>
      <c r="U81" s="52">
        <f>(P81-R81)/R81</f>
        <v>0.34693877551020408</v>
      </c>
    </row>
    <row r="82" spans="1:37" x14ac:dyDescent="0.3">
      <c r="A82" s="7">
        <v>159</v>
      </c>
      <c r="B82" s="4">
        <v>4.7000000000000153E-2</v>
      </c>
      <c r="C82" s="25">
        <v>159</v>
      </c>
      <c r="D82" s="26">
        <v>4.7000000000000153E-2</v>
      </c>
      <c r="E82" s="3"/>
      <c r="F82" s="8"/>
      <c r="I82" s="15">
        <v>1.671999999999997</v>
      </c>
      <c r="J82" s="14">
        <v>174</v>
      </c>
      <c r="K82" s="4">
        <v>144</v>
      </c>
      <c r="L82" s="3">
        <v>133</v>
      </c>
      <c r="M82" s="14">
        <f t="shared" si="9"/>
        <v>9.4339622641509441E-2</v>
      </c>
      <c r="N82" s="8">
        <f t="shared" si="10"/>
        <v>0.20833333333333334</v>
      </c>
      <c r="O82" s="67">
        <v>1.671999999999997</v>
      </c>
      <c r="P82" s="34">
        <v>174</v>
      </c>
      <c r="Q82" s="34">
        <v>144</v>
      </c>
      <c r="R82" s="35">
        <v>133</v>
      </c>
      <c r="S82" s="34">
        <v>9.4339622641509441E-2</v>
      </c>
      <c r="T82" s="46">
        <v>0.20833333333333334</v>
      </c>
      <c r="U82" s="52">
        <f>(P82-R82)/R82</f>
        <v>0.30827067669172931</v>
      </c>
    </row>
    <row r="83" spans="1:37" x14ac:dyDescent="0.3">
      <c r="A83" s="7">
        <v>142</v>
      </c>
      <c r="B83" s="4">
        <v>7.7999999999999847E-2</v>
      </c>
      <c r="C83" s="25">
        <v>142</v>
      </c>
      <c r="D83" s="26">
        <v>7.7999999999999847E-2</v>
      </c>
      <c r="E83" s="3"/>
      <c r="F83" s="8"/>
      <c r="I83" s="15">
        <v>1.6409999999999982</v>
      </c>
      <c r="J83" s="14">
        <v>152</v>
      </c>
      <c r="K83" s="4">
        <v>141</v>
      </c>
      <c r="L83" s="3">
        <v>120</v>
      </c>
      <c r="M83" s="14">
        <f t="shared" si="9"/>
        <v>7.0422535211267609E-2</v>
      </c>
      <c r="N83" s="8">
        <f t="shared" si="10"/>
        <v>7.8014184397163122E-2</v>
      </c>
      <c r="O83" s="67">
        <v>1.6409999999999982</v>
      </c>
      <c r="P83" s="34">
        <v>152</v>
      </c>
      <c r="Q83" s="34">
        <v>141</v>
      </c>
      <c r="R83" s="35">
        <v>120</v>
      </c>
      <c r="S83" s="34">
        <v>7.0422535211267609E-2</v>
      </c>
      <c r="T83" s="46">
        <v>7.8014184397163122E-2</v>
      </c>
      <c r="U83" s="52">
        <f t="shared" ref="U83:U88" si="19">(P83-R83)/R83</f>
        <v>0.26666666666666666</v>
      </c>
    </row>
    <row r="84" spans="1:37" x14ac:dyDescent="0.3">
      <c r="A84" s="7">
        <v>181</v>
      </c>
      <c r="B84" s="4">
        <v>6.3000000000000167E-2</v>
      </c>
      <c r="C84" s="25">
        <v>181</v>
      </c>
      <c r="D84" s="26">
        <v>6.3000000000000167E-2</v>
      </c>
      <c r="E84" s="3"/>
      <c r="F84" s="8"/>
      <c r="I84" s="15">
        <v>1.6870000000000047</v>
      </c>
      <c r="J84" s="14">
        <v>198</v>
      </c>
      <c r="K84" s="4">
        <v>161</v>
      </c>
      <c r="L84" s="3">
        <v>147</v>
      </c>
      <c r="M84" s="14">
        <f t="shared" si="9"/>
        <v>9.3922651933701654E-2</v>
      </c>
      <c r="N84" s="8">
        <f t="shared" si="10"/>
        <v>0.22981366459627328</v>
      </c>
      <c r="O84" s="67">
        <v>1.6870000000000047</v>
      </c>
      <c r="P84" s="34">
        <v>198</v>
      </c>
      <c r="Q84" s="34">
        <v>161</v>
      </c>
      <c r="R84" s="35">
        <v>147</v>
      </c>
      <c r="S84" s="34">
        <v>9.3922651933701654E-2</v>
      </c>
      <c r="T84" s="46">
        <v>0.22981366459627328</v>
      </c>
      <c r="U84" s="52">
        <f t="shared" si="19"/>
        <v>0.34693877551020408</v>
      </c>
    </row>
    <row r="85" spans="1:37" x14ac:dyDescent="0.3">
      <c r="A85" s="7">
        <v>191</v>
      </c>
      <c r="B85" s="4">
        <v>0.10899999999999999</v>
      </c>
      <c r="C85" s="25">
        <v>191</v>
      </c>
      <c r="D85" s="26">
        <v>0.10899999999999999</v>
      </c>
      <c r="E85" s="3"/>
      <c r="F85" s="8"/>
      <c r="I85" s="15">
        <v>1.671999999999997</v>
      </c>
      <c r="J85" s="14">
        <v>208</v>
      </c>
      <c r="K85" s="4">
        <v>169</v>
      </c>
      <c r="L85" s="3">
        <v>156</v>
      </c>
      <c r="M85" s="14">
        <f t="shared" si="9"/>
        <v>8.9005235602094238E-2</v>
      </c>
      <c r="N85" s="8">
        <f t="shared" si="10"/>
        <v>0.23076923076923078</v>
      </c>
      <c r="O85" s="67">
        <v>1.671999999999997</v>
      </c>
      <c r="P85" s="34">
        <v>208</v>
      </c>
      <c r="Q85" s="34">
        <v>169</v>
      </c>
      <c r="R85" s="35">
        <v>156</v>
      </c>
      <c r="S85" s="34">
        <v>8.9005235602094238E-2</v>
      </c>
      <c r="T85" s="46">
        <v>0.23076923076923078</v>
      </c>
      <c r="U85" s="52">
        <f t="shared" si="19"/>
        <v>0.33333333333333331</v>
      </c>
    </row>
    <row r="86" spans="1:37" x14ac:dyDescent="0.3">
      <c r="A86" s="7">
        <v>154</v>
      </c>
      <c r="B86" s="4">
        <v>7.7999999999999847E-2</v>
      </c>
      <c r="C86" s="25">
        <v>154</v>
      </c>
      <c r="D86" s="26">
        <v>7.7999999999999847E-2</v>
      </c>
      <c r="E86" s="3"/>
      <c r="F86" s="8"/>
      <c r="I86" s="15">
        <v>1.6409999999999982</v>
      </c>
      <c r="J86" s="14">
        <v>169</v>
      </c>
      <c r="K86" s="4">
        <v>144</v>
      </c>
      <c r="L86" s="3">
        <v>126</v>
      </c>
      <c r="M86" s="14">
        <f t="shared" si="9"/>
        <v>9.7402597402597407E-2</v>
      </c>
      <c r="N86" s="8">
        <f t="shared" si="10"/>
        <v>0.1736111111111111</v>
      </c>
      <c r="O86" s="67">
        <v>1.6409999999999982</v>
      </c>
      <c r="P86" s="34">
        <v>169</v>
      </c>
      <c r="Q86" s="34">
        <v>144</v>
      </c>
      <c r="R86" s="35">
        <v>126</v>
      </c>
      <c r="S86" s="34">
        <v>9.7402597402597407E-2</v>
      </c>
      <c r="T86" s="46">
        <v>0.1736111111111111</v>
      </c>
      <c r="U86" s="52">
        <f t="shared" si="19"/>
        <v>0.34126984126984128</v>
      </c>
    </row>
    <row r="87" spans="1:37" x14ac:dyDescent="0.3">
      <c r="A87" s="7">
        <v>169</v>
      </c>
      <c r="B87" s="4">
        <v>4.7000000000000153E-2</v>
      </c>
      <c r="C87" s="25">
        <v>169</v>
      </c>
      <c r="D87" s="26">
        <v>4.7000000000000153E-2</v>
      </c>
      <c r="E87" s="3"/>
      <c r="F87" s="8"/>
      <c r="I87" s="15">
        <v>1.6709999999999994</v>
      </c>
      <c r="J87" s="14">
        <v>194</v>
      </c>
      <c r="K87" s="4">
        <v>158</v>
      </c>
      <c r="L87" s="3">
        <v>149</v>
      </c>
      <c r="M87" s="14">
        <f t="shared" si="9"/>
        <v>0.14792899408284024</v>
      </c>
      <c r="N87" s="8">
        <f t="shared" si="10"/>
        <v>0.22784810126582278</v>
      </c>
      <c r="O87" s="67">
        <v>1.6709999999999994</v>
      </c>
      <c r="P87" s="34">
        <v>194</v>
      </c>
      <c r="Q87" s="34">
        <v>158</v>
      </c>
      <c r="R87" s="35">
        <v>149</v>
      </c>
      <c r="S87" s="34">
        <v>0.14792899408284024</v>
      </c>
      <c r="T87" s="46">
        <v>0.22784810126582278</v>
      </c>
      <c r="U87" s="52">
        <f t="shared" si="19"/>
        <v>0.30201342281879195</v>
      </c>
    </row>
    <row r="88" spans="1:37" x14ac:dyDescent="0.3">
      <c r="A88" s="7">
        <v>175</v>
      </c>
      <c r="B88" s="4">
        <v>6.3000000000000167E-2</v>
      </c>
      <c r="C88" s="25">
        <v>175</v>
      </c>
      <c r="D88" s="26">
        <v>6.3000000000000167E-2</v>
      </c>
      <c r="E88" s="3"/>
      <c r="F88" s="8"/>
      <c r="I88" s="15">
        <v>1.7190000000000012</v>
      </c>
      <c r="J88" s="14">
        <v>200</v>
      </c>
      <c r="K88" s="4">
        <v>170</v>
      </c>
      <c r="L88" s="3">
        <v>140</v>
      </c>
      <c r="M88" s="14">
        <f t="shared" si="9"/>
        <v>0.14285714285714285</v>
      </c>
      <c r="N88" s="8">
        <f t="shared" si="10"/>
        <v>0.17647058823529413</v>
      </c>
      <c r="O88" s="67">
        <v>1.7190000000000012</v>
      </c>
      <c r="P88" s="34">
        <v>200</v>
      </c>
      <c r="Q88" s="34">
        <v>170</v>
      </c>
      <c r="R88" s="35">
        <v>140</v>
      </c>
      <c r="S88" s="34">
        <v>0.14285714285714285</v>
      </c>
      <c r="T88" s="46">
        <v>0.17647058823529413</v>
      </c>
      <c r="U88" s="52">
        <f t="shared" si="19"/>
        <v>0.42857142857142855</v>
      </c>
    </row>
    <row r="89" spans="1:37" x14ac:dyDescent="0.3">
      <c r="A89" s="7">
        <v>196</v>
      </c>
      <c r="B89" s="4">
        <v>0.26499999999999968</v>
      </c>
      <c r="C89" s="25">
        <v>196</v>
      </c>
      <c r="D89" s="26">
        <v>0.26499999999999968</v>
      </c>
      <c r="E89" s="3"/>
      <c r="F89" s="8"/>
      <c r="I89" s="15">
        <v>1.6559999999999988</v>
      </c>
      <c r="J89" s="14">
        <v>209</v>
      </c>
      <c r="K89" s="4">
        <v>184</v>
      </c>
      <c r="L89" s="3">
        <v>147</v>
      </c>
      <c r="M89" s="14">
        <f t="shared" si="9"/>
        <v>6.6326530612244902E-2</v>
      </c>
      <c r="N89" s="8">
        <f t="shared" si="10"/>
        <v>0.1358695652173913</v>
      </c>
      <c r="O89" s="67">
        <v>1.6559999999999988</v>
      </c>
      <c r="P89" s="34">
        <v>209</v>
      </c>
      <c r="Q89" s="34">
        <v>184</v>
      </c>
      <c r="R89" s="35">
        <v>147</v>
      </c>
      <c r="S89" s="34">
        <v>6.6326530612244902E-2</v>
      </c>
      <c r="T89" s="46">
        <v>0.1358695652173913</v>
      </c>
      <c r="U89" s="52">
        <f>(P89-R89)/R89</f>
        <v>0.42176870748299322</v>
      </c>
    </row>
    <row r="90" spans="1:37" x14ac:dyDescent="0.3">
      <c r="A90" s="7">
        <v>149</v>
      </c>
      <c r="B90" s="4">
        <v>6.2000000000000277E-2</v>
      </c>
      <c r="C90" s="25">
        <v>149</v>
      </c>
      <c r="D90" s="26">
        <v>6.2000000000000277E-2</v>
      </c>
      <c r="E90" s="3"/>
      <c r="F90" s="8"/>
      <c r="I90" s="15">
        <v>1.6720000000000041</v>
      </c>
      <c r="J90" s="14">
        <v>160</v>
      </c>
      <c r="K90" s="4">
        <v>138</v>
      </c>
      <c r="L90" s="3">
        <v>122</v>
      </c>
      <c r="M90" s="14">
        <f t="shared" si="9"/>
        <v>7.3825503355704702E-2</v>
      </c>
      <c r="N90" s="8">
        <f t="shared" si="10"/>
        <v>0.15942028985507245</v>
      </c>
      <c r="O90" s="67">
        <v>1.6720000000000041</v>
      </c>
      <c r="P90" s="34">
        <v>160</v>
      </c>
      <c r="Q90" s="34">
        <v>138</v>
      </c>
      <c r="R90" s="35">
        <v>122</v>
      </c>
      <c r="S90" s="34">
        <v>7.3825503355704702E-2</v>
      </c>
      <c r="T90" s="46">
        <v>0.15942028985507245</v>
      </c>
      <c r="U90" s="52">
        <f>(P90-R90)/R90</f>
        <v>0.31147540983606559</v>
      </c>
    </row>
    <row r="91" spans="1:37" ht="15" thickBot="1" x14ac:dyDescent="0.35">
      <c r="A91" s="9">
        <v>160</v>
      </c>
      <c r="B91" s="10">
        <v>0.10899999999999999</v>
      </c>
      <c r="C91" s="30">
        <v>160</v>
      </c>
      <c r="D91" s="31">
        <v>0.10899999999999999</v>
      </c>
      <c r="E91" s="11"/>
      <c r="F91" s="12"/>
      <c r="G91" s="21"/>
      <c r="H91" s="21"/>
      <c r="I91" s="16">
        <v>1.6879999999999953</v>
      </c>
      <c r="J91" s="17">
        <v>196</v>
      </c>
      <c r="K91" s="10">
        <v>144</v>
      </c>
      <c r="L91" s="11">
        <v>131</v>
      </c>
      <c r="M91" s="17">
        <f t="shared" si="9"/>
        <v>0.22500000000000001</v>
      </c>
      <c r="N91" s="12">
        <f t="shared" si="10"/>
        <v>0.3611111111111111</v>
      </c>
      <c r="O91" s="68">
        <v>1.6879999999999953</v>
      </c>
      <c r="P91" s="36">
        <v>196</v>
      </c>
      <c r="Q91" s="36">
        <v>144</v>
      </c>
      <c r="R91" s="37">
        <v>131</v>
      </c>
      <c r="S91" s="36">
        <v>0.22500000000000001</v>
      </c>
      <c r="T91" s="47">
        <v>0.3611111111111111</v>
      </c>
      <c r="U91" s="54">
        <f>(P91-R91)/R91</f>
        <v>0.49618320610687022</v>
      </c>
    </row>
    <row r="93" spans="1:37" x14ac:dyDescent="0.3">
      <c r="W93" s="44" t="s">
        <v>21</v>
      </c>
      <c r="X93">
        <v>0.05</v>
      </c>
    </row>
    <row r="94" spans="1:37" x14ac:dyDescent="0.3">
      <c r="A94">
        <f>AVERAGE(A62:A91)</f>
        <v>172.1</v>
      </c>
      <c r="D94">
        <f>AVERAGE(D62:D91)</f>
        <v>0.10453333333333334</v>
      </c>
      <c r="E94" t="s">
        <v>17</v>
      </c>
      <c r="I94">
        <f>AVERAGE(I62:I91)</f>
        <v>1.6474</v>
      </c>
      <c r="O94">
        <f>AVERAGE(O62:O91)</f>
        <v>1.6474</v>
      </c>
      <c r="P94" t="s">
        <v>17</v>
      </c>
      <c r="V94" t="s">
        <v>26</v>
      </c>
      <c r="W94" s="44" t="s">
        <v>19</v>
      </c>
      <c r="X94">
        <f>_xlfn.T.TEST(C62:C91,O62:O91,1,3)</f>
        <v>4.2956464517245888E-33</v>
      </c>
      <c r="Y94" s="121" t="s">
        <v>39</v>
      </c>
      <c r="Z94" s="121"/>
      <c r="AA94" s="121"/>
      <c r="AB94" s="121"/>
      <c r="AC94" s="121"/>
      <c r="AD94" t="s">
        <v>24</v>
      </c>
      <c r="AE94" s="121" t="s">
        <v>62</v>
      </c>
      <c r="AF94" s="121"/>
      <c r="AG94" s="121"/>
      <c r="AH94" s="121"/>
      <c r="AI94" s="121"/>
      <c r="AJ94" s="121"/>
      <c r="AK94" s="121"/>
    </row>
    <row r="95" spans="1:37" x14ac:dyDescent="0.3">
      <c r="D95">
        <f>_xlfn.STDEV.S(D62:D91)</f>
        <v>5.629033930303283E-2</v>
      </c>
      <c r="E95" s="44">
        <f>D95/D94</f>
        <v>0.53849176629176809</v>
      </c>
      <c r="O95">
        <f>_xlfn.STDEV.S(O62:O91)</f>
        <v>0.11729114967934905</v>
      </c>
      <c r="P95" s="44">
        <f>O95/O94</f>
        <v>7.1197735631509676E-2</v>
      </c>
      <c r="W95" s="44"/>
      <c r="Y95" s="121"/>
      <c r="Z95" s="121"/>
      <c r="AA95" s="121"/>
      <c r="AB95" s="121"/>
      <c r="AC95" s="121"/>
      <c r="AE95" s="121"/>
      <c r="AF95" s="121"/>
      <c r="AG95" s="121"/>
      <c r="AH95" s="121"/>
      <c r="AI95" s="121"/>
      <c r="AJ95" s="121"/>
      <c r="AK95" s="121"/>
    </row>
    <row r="120" spans="1:32" ht="15" thickBot="1" x14ac:dyDescent="0.35">
      <c r="A120" s="44" t="s">
        <v>37</v>
      </c>
      <c r="B120" s="44" t="s">
        <v>38</v>
      </c>
    </row>
    <row r="121" spans="1:32" x14ac:dyDescent="0.3">
      <c r="A121" s="118" t="s">
        <v>1</v>
      </c>
      <c r="B121" s="119"/>
      <c r="C121" s="119"/>
      <c r="D121" s="119"/>
      <c r="E121" s="119"/>
      <c r="F121" s="120"/>
      <c r="I121" s="27" t="s">
        <v>3</v>
      </c>
      <c r="J121" s="28"/>
      <c r="K121" s="28"/>
      <c r="L121" s="28"/>
      <c r="M121" s="28"/>
      <c r="N121" s="29"/>
      <c r="O121" s="22" t="s">
        <v>12</v>
      </c>
      <c r="P121" s="22"/>
      <c r="Q121" s="22"/>
      <c r="R121" s="22"/>
      <c r="S121" s="22"/>
      <c r="T121" s="22"/>
      <c r="U121" s="6"/>
    </row>
    <row r="122" spans="1:32" x14ac:dyDescent="0.3">
      <c r="A122" s="19" t="s">
        <v>11</v>
      </c>
      <c r="B122" s="2"/>
      <c r="C122" s="1" t="s">
        <v>12</v>
      </c>
      <c r="D122" s="2"/>
      <c r="E122" s="1"/>
      <c r="F122" s="18"/>
      <c r="I122" s="15" t="s">
        <v>4</v>
      </c>
      <c r="J122" s="14" t="s">
        <v>0</v>
      </c>
      <c r="K122" s="14" t="s">
        <v>7</v>
      </c>
      <c r="L122" s="3" t="s">
        <v>8</v>
      </c>
      <c r="M122" s="13" t="s">
        <v>9</v>
      </c>
      <c r="N122" s="48" t="s">
        <v>10</v>
      </c>
      <c r="O122" s="65" t="s">
        <v>4</v>
      </c>
      <c r="P122" s="48" t="s">
        <v>0</v>
      </c>
      <c r="Q122" s="48" t="s">
        <v>7</v>
      </c>
      <c r="R122" s="55" t="s">
        <v>8</v>
      </c>
      <c r="S122" s="48" t="s">
        <v>9</v>
      </c>
      <c r="T122" s="55" t="s">
        <v>10</v>
      </c>
      <c r="U122" s="69" t="s">
        <v>18</v>
      </c>
      <c r="W122" t="s">
        <v>15</v>
      </c>
      <c r="X122">
        <f>SQRT(29)</f>
        <v>5.3851648071345037</v>
      </c>
    </row>
    <row r="123" spans="1:32" ht="15" thickBot="1" x14ac:dyDescent="0.35">
      <c r="A123" s="19">
        <v>315</v>
      </c>
      <c r="B123" s="2">
        <v>271.04599999999999</v>
      </c>
      <c r="C123" s="23">
        <v>315</v>
      </c>
      <c r="D123" s="24">
        <v>271.04599999999999</v>
      </c>
      <c r="E123" s="1"/>
      <c r="F123" s="18"/>
      <c r="I123" s="20">
        <v>21.109000000000002</v>
      </c>
      <c r="J123" s="13">
        <v>386</v>
      </c>
      <c r="K123" s="2">
        <v>270</v>
      </c>
      <c r="L123" s="1">
        <v>241</v>
      </c>
      <c r="M123" s="13">
        <f>(J123-C123)/C123</f>
        <v>0.2253968253968254</v>
      </c>
      <c r="N123" s="8">
        <f>(J123-K123)/K123</f>
        <v>0.42962962962962964</v>
      </c>
      <c r="O123" s="66">
        <v>21.109000000000002</v>
      </c>
      <c r="P123" s="32">
        <v>386</v>
      </c>
      <c r="Q123" s="32">
        <v>270</v>
      </c>
      <c r="R123" s="33">
        <v>241</v>
      </c>
      <c r="S123" s="32">
        <v>0.2253968253968254</v>
      </c>
      <c r="T123" s="45">
        <v>0.42962962962962964</v>
      </c>
      <c r="U123" s="50">
        <f>(P123-R123)/R123</f>
        <v>0.60165975103734437</v>
      </c>
      <c r="Y123" t="s">
        <v>16</v>
      </c>
      <c r="Z123" t="s">
        <v>44</v>
      </c>
      <c r="AA123" t="s">
        <v>8</v>
      </c>
    </row>
    <row r="124" spans="1:32" x14ac:dyDescent="0.3">
      <c r="A124" s="7">
        <v>323</v>
      </c>
      <c r="B124" s="4">
        <v>18.656000000000006</v>
      </c>
      <c r="C124" s="25">
        <v>323</v>
      </c>
      <c r="D124" s="26">
        <v>18.656000000000006</v>
      </c>
      <c r="E124" s="3"/>
      <c r="F124" s="8"/>
      <c r="I124" s="15">
        <v>27.75</v>
      </c>
      <c r="J124" s="14">
        <v>414</v>
      </c>
      <c r="K124" s="4">
        <v>282</v>
      </c>
      <c r="L124" s="3">
        <v>256</v>
      </c>
      <c r="M124" s="14">
        <f>(J124-C124)/C124</f>
        <v>0.28173374613003094</v>
      </c>
      <c r="N124" s="8">
        <f>(J124-K124)/K124</f>
        <v>0.46808510638297873</v>
      </c>
      <c r="O124" s="67">
        <v>27.75</v>
      </c>
      <c r="P124" s="34">
        <v>414</v>
      </c>
      <c r="Q124" s="34">
        <v>282</v>
      </c>
      <c r="R124" s="35">
        <v>256</v>
      </c>
      <c r="S124" s="34">
        <v>0.28173374613003094</v>
      </c>
      <c r="T124" s="46">
        <v>0.46808510638297873</v>
      </c>
      <c r="U124" s="52">
        <f t="shared" ref="U124:U132" si="20">(P124-R124)/R124</f>
        <v>0.6171875</v>
      </c>
      <c r="W124" s="5">
        <v>0</v>
      </c>
      <c r="X124" s="22">
        <f t="shared" ref="X124:X129" si="21">W124+0.1</f>
        <v>0.1</v>
      </c>
      <c r="Y124" s="59">
        <f>COUNTIFS($S$123:$S$152,"&lt;"&amp;X124,$S$123:$S$152,"&gt;="&amp;W124)/$Y$131</f>
        <v>0</v>
      </c>
      <c r="Z124" s="56">
        <f>COUNTIFS($T$123:$T$152,"&lt;"&amp;X124,$T$123:$T$152,"&gt;="&amp;W124)/$Z$131</f>
        <v>0</v>
      </c>
      <c r="AA124" s="62">
        <f>COUNTIFS($U$123:$U$152,"&lt;"&amp;X124,$U$123:$U$152,"&gt;="&amp;W124)/$AA$131</f>
        <v>0</v>
      </c>
      <c r="AB124" s="6" t="str">
        <f>_xlfn.CONCAT(TEXT(W124,"0.00"),"-",TEXT(X124,"0.00"))</f>
        <v>0.00-0.10</v>
      </c>
    </row>
    <row r="125" spans="1:32" x14ac:dyDescent="0.3">
      <c r="A125" s="7">
        <v>291</v>
      </c>
      <c r="B125" s="4">
        <v>16.593000000000018</v>
      </c>
      <c r="C125" s="25">
        <v>291</v>
      </c>
      <c r="D125" s="26">
        <v>16.593000000000018</v>
      </c>
      <c r="E125" s="3"/>
      <c r="F125" s="8"/>
      <c r="I125" s="15">
        <v>22.937999999999995</v>
      </c>
      <c r="J125" s="14">
        <v>379</v>
      </c>
      <c r="K125" s="4">
        <v>261</v>
      </c>
      <c r="L125" s="3">
        <v>240</v>
      </c>
      <c r="M125" s="14">
        <f>(J125-C125)/C125</f>
        <v>0.30240549828178692</v>
      </c>
      <c r="N125" s="8">
        <f>(J125-K125)/K125</f>
        <v>0.45210727969348657</v>
      </c>
      <c r="O125" s="67">
        <v>22.937999999999995</v>
      </c>
      <c r="P125" s="34">
        <v>379</v>
      </c>
      <c r="Q125" s="34">
        <v>261</v>
      </c>
      <c r="R125" s="35">
        <v>240</v>
      </c>
      <c r="S125" s="34">
        <v>0.30240549828178692</v>
      </c>
      <c r="T125" s="46">
        <v>0.45210727969348657</v>
      </c>
      <c r="U125" s="52">
        <f t="shared" si="20"/>
        <v>0.57916666666666672</v>
      </c>
      <c r="W125" s="7">
        <f t="shared" ref="W125:W130" si="22">X124</f>
        <v>0.1</v>
      </c>
      <c r="X125">
        <f t="shared" si="21"/>
        <v>0.2</v>
      </c>
      <c r="Y125" s="60">
        <f t="shared" ref="Y125:Y130" si="23">COUNTIFS($S$123:$S$152,"&lt;"&amp;X125,$S$123:$S$152,"&gt;="&amp;W125)/$Y$131</f>
        <v>0.19230769230769232</v>
      </c>
      <c r="Z125" s="57">
        <f t="shared" ref="Z125:Z130" si="24">COUNTIFS($T$123:$T$152,"&lt;"&amp;X125,$T$123:$T$152,"&gt;="&amp;W125)/$Z$131</f>
        <v>0</v>
      </c>
      <c r="AA125" s="63">
        <f t="shared" ref="AA125:AA130" si="25">COUNTIFS($U$123:$U$152,"&lt;"&amp;X125,$U$123:$U$152,"&gt;="&amp;W125)/$AA$131</f>
        <v>0</v>
      </c>
      <c r="AB125" s="8" t="str">
        <f t="shared" ref="AB125:AB130" si="26">_xlfn.CONCAT(TEXT(W125,"0.00"),"-",TEXT(X125,"0.00"))</f>
        <v>0.10-0.20</v>
      </c>
    </row>
    <row r="126" spans="1:32" x14ac:dyDescent="0.3">
      <c r="A126" s="7">
        <v>322</v>
      </c>
      <c r="B126" s="4">
        <v>26.452999999999975</v>
      </c>
      <c r="C126" s="25">
        <v>322</v>
      </c>
      <c r="D126" s="26">
        <v>26.452999999999975</v>
      </c>
      <c r="E126" s="3"/>
      <c r="F126" s="8"/>
      <c r="I126" s="15">
        <v>27.296999999999997</v>
      </c>
      <c r="J126" s="14">
        <v>387</v>
      </c>
      <c r="K126" s="4">
        <v>280</v>
      </c>
      <c r="L126" s="3">
        <v>264</v>
      </c>
      <c r="M126" s="14">
        <f>(J126-C126)/C126</f>
        <v>0.20186335403726707</v>
      </c>
      <c r="N126" s="8">
        <f>(J126-K126)/K126</f>
        <v>0.38214285714285712</v>
      </c>
      <c r="O126" s="67">
        <v>27.296999999999997</v>
      </c>
      <c r="P126" s="34">
        <v>387</v>
      </c>
      <c r="Q126" s="34">
        <v>280</v>
      </c>
      <c r="R126" s="35">
        <v>264</v>
      </c>
      <c r="S126" s="34">
        <v>0.20186335403726707</v>
      </c>
      <c r="T126" s="46">
        <v>0.38214285714285712</v>
      </c>
      <c r="U126" s="52">
        <f t="shared" si="20"/>
        <v>0.46590909090909088</v>
      </c>
      <c r="W126" s="7">
        <f t="shared" si="22"/>
        <v>0.2</v>
      </c>
      <c r="X126">
        <f t="shared" si="21"/>
        <v>0.30000000000000004</v>
      </c>
      <c r="Y126" s="60">
        <f t="shared" si="23"/>
        <v>0.5</v>
      </c>
      <c r="Z126" s="57">
        <f t="shared" si="24"/>
        <v>0.19230769230769232</v>
      </c>
      <c r="AA126" s="63">
        <f t="shared" si="25"/>
        <v>3.8461538461538464E-2</v>
      </c>
      <c r="AB126" s="8" t="str">
        <f t="shared" si="26"/>
        <v>0.20-0.30</v>
      </c>
    </row>
    <row r="127" spans="1:32" x14ac:dyDescent="0.3">
      <c r="A127" s="7">
        <v>291</v>
      </c>
      <c r="B127" s="4">
        <v>728.59400000000005</v>
      </c>
      <c r="C127" s="25">
        <v>291</v>
      </c>
      <c r="D127" s="26">
        <v>728.59400000000005</v>
      </c>
      <c r="E127" s="3"/>
      <c r="F127" s="8"/>
      <c r="I127" s="15">
        <v>10.843</v>
      </c>
      <c r="J127" s="14">
        <v>382</v>
      </c>
      <c r="K127" s="4">
        <v>280</v>
      </c>
      <c r="L127" s="3">
        <v>263</v>
      </c>
      <c r="M127" s="14">
        <v>0.29491525423728815</v>
      </c>
      <c r="N127" s="8">
        <v>0.36428571428571427</v>
      </c>
      <c r="O127" s="67">
        <v>10.843</v>
      </c>
      <c r="P127" s="34">
        <v>382</v>
      </c>
      <c r="Q127" s="34">
        <v>280</v>
      </c>
      <c r="R127" s="35">
        <v>263</v>
      </c>
      <c r="S127" s="34">
        <v>0.29491525423728815</v>
      </c>
      <c r="T127" s="46">
        <v>0.36428571428571427</v>
      </c>
      <c r="U127" s="52">
        <f t="shared" si="20"/>
        <v>0.45247148288973382</v>
      </c>
      <c r="W127" s="7">
        <f t="shared" si="22"/>
        <v>0.30000000000000004</v>
      </c>
      <c r="X127">
        <f t="shared" si="21"/>
        <v>0.4</v>
      </c>
      <c r="Y127" s="60">
        <f t="shared" si="23"/>
        <v>0.23076923076923078</v>
      </c>
      <c r="Z127" s="57">
        <f t="shared" si="24"/>
        <v>0.42307692307692307</v>
      </c>
      <c r="AA127" s="63">
        <f t="shared" si="25"/>
        <v>3.8461538461538464E-2</v>
      </c>
      <c r="AB127" s="8" t="str">
        <f t="shared" si="26"/>
        <v>0.30-0.40</v>
      </c>
      <c r="AD127">
        <f>AVERAGE(S123:S152)</f>
        <v>0.27374309644401051</v>
      </c>
      <c r="AE127">
        <f>AVERAGE(T123:T152)</f>
        <v>0.37379434050537197</v>
      </c>
      <c r="AF127">
        <f>AVERAGE(U123:U152)</f>
        <v>0.56325801428356936</v>
      </c>
    </row>
    <row r="128" spans="1:32" x14ac:dyDescent="0.3">
      <c r="A128" s="7">
        <v>295</v>
      </c>
      <c r="B128" s="4">
        <v>8.8899999999998727</v>
      </c>
      <c r="C128" s="25">
        <v>295</v>
      </c>
      <c r="D128" s="26">
        <v>8.8899999999998727</v>
      </c>
      <c r="E128" s="3"/>
      <c r="F128" s="8"/>
      <c r="I128" s="15">
        <v>11.141000000000002</v>
      </c>
      <c r="J128" s="14">
        <v>372</v>
      </c>
      <c r="K128">
        <v>267</v>
      </c>
      <c r="L128" s="3">
        <v>242</v>
      </c>
      <c r="M128" s="14">
        <v>0.16614420062695925</v>
      </c>
      <c r="N128" s="8">
        <v>0.39325842696629215</v>
      </c>
      <c r="O128" s="67">
        <v>11.141000000000002</v>
      </c>
      <c r="P128" s="34">
        <v>372</v>
      </c>
      <c r="Q128" s="34">
        <v>267</v>
      </c>
      <c r="R128" s="35">
        <v>242</v>
      </c>
      <c r="S128" s="34">
        <v>0.16614420062695925</v>
      </c>
      <c r="T128" s="46">
        <v>0.39325842696629215</v>
      </c>
      <c r="U128" s="52">
        <f t="shared" si="20"/>
        <v>0.53719008264462809</v>
      </c>
      <c r="W128" s="7">
        <f t="shared" si="22"/>
        <v>0.4</v>
      </c>
      <c r="X128">
        <f t="shared" si="21"/>
        <v>0.5</v>
      </c>
      <c r="Y128" s="60">
        <f t="shared" si="23"/>
        <v>3.8461538461538464E-2</v>
      </c>
      <c r="Z128" s="57">
        <f t="shared" si="24"/>
        <v>0.34615384615384615</v>
      </c>
      <c r="AA128" s="63">
        <f t="shared" si="25"/>
        <v>0.23076923076923078</v>
      </c>
      <c r="AB128" s="8" t="str">
        <f t="shared" si="26"/>
        <v>0.40-0.50</v>
      </c>
    </row>
    <row r="129" spans="1:28" x14ac:dyDescent="0.3">
      <c r="A129" s="7">
        <v>319</v>
      </c>
      <c r="B129" s="4">
        <v>127.54700000000003</v>
      </c>
      <c r="C129" s="25">
        <v>319</v>
      </c>
      <c r="D129" s="26">
        <v>127.54700000000003</v>
      </c>
      <c r="E129" s="3"/>
      <c r="F129" s="8"/>
      <c r="I129" s="15">
        <v>17.796999999999997</v>
      </c>
      <c r="J129" s="14">
        <v>396</v>
      </c>
      <c r="K129">
        <v>306</v>
      </c>
      <c r="L129" s="3">
        <v>269</v>
      </c>
      <c r="M129" s="14">
        <v>0.31125827814569534</v>
      </c>
      <c r="N129" s="8">
        <v>0.29411764705882354</v>
      </c>
      <c r="O129" s="67">
        <v>17.796999999999997</v>
      </c>
      <c r="P129" s="34">
        <v>396</v>
      </c>
      <c r="Q129" s="34">
        <v>306</v>
      </c>
      <c r="R129" s="35">
        <v>269</v>
      </c>
      <c r="S129" s="34">
        <v>0.31125827814569534</v>
      </c>
      <c r="T129" s="46">
        <v>0.29411764705882354</v>
      </c>
      <c r="U129" s="52">
        <f t="shared" si="20"/>
        <v>0.47211895910780671</v>
      </c>
      <c r="W129" s="7">
        <f t="shared" si="22"/>
        <v>0.5</v>
      </c>
      <c r="X129">
        <f t="shared" si="21"/>
        <v>0.6</v>
      </c>
      <c r="Y129" s="60">
        <f t="shared" si="23"/>
        <v>3.8461538461538464E-2</v>
      </c>
      <c r="Z129" s="57">
        <f t="shared" si="24"/>
        <v>3.8461538461538464E-2</v>
      </c>
      <c r="AA129" s="63">
        <f t="shared" si="25"/>
        <v>0.30769230769230771</v>
      </c>
      <c r="AB129" s="8" t="str">
        <f t="shared" si="26"/>
        <v>0.50-0.60</v>
      </c>
    </row>
    <row r="130" spans="1:28" ht="15" thickBot="1" x14ac:dyDescent="0.35">
      <c r="A130" s="7">
        <v>302</v>
      </c>
      <c r="B130" s="4">
        <v>17</v>
      </c>
      <c r="C130" s="25">
        <v>302</v>
      </c>
      <c r="D130" s="26">
        <v>17</v>
      </c>
      <c r="E130" s="3"/>
      <c r="F130" s="8"/>
      <c r="I130" s="15">
        <v>22.359000000000002</v>
      </c>
      <c r="J130" s="14">
        <v>391</v>
      </c>
      <c r="K130">
        <v>295</v>
      </c>
      <c r="L130" s="3">
        <v>257</v>
      </c>
      <c r="M130" s="14">
        <v>0.22955974842767296</v>
      </c>
      <c r="N130" s="8">
        <v>0.3254237288135593</v>
      </c>
      <c r="O130" s="67">
        <v>22.359000000000002</v>
      </c>
      <c r="P130" s="34">
        <v>391</v>
      </c>
      <c r="Q130" s="34">
        <v>295</v>
      </c>
      <c r="R130" s="35">
        <v>257</v>
      </c>
      <c r="S130" s="34">
        <v>0.22955974842767296</v>
      </c>
      <c r="T130" s="46">
        <v>0.3254237288135593</v>
      </c>
      <c r="U130" s="52">
        <f t="shared" si="20"/>
        <v>0.52140077821011677</v>
      </c>
      <c r="W130" s="9">
        <f t="shared" si="22"/>
        <v>0.6</v>
      </c>
      <c r="X130" s="38">
        <f>1</f>
        <v>1</v>
      </c>
      <c r="Y130" s="61">
        <f t="shared" si="23"/>
        <v>0</v>
      </c>
      <c r="Z130" s="58">
        <f t="shared" si="24"/>
        <v>0</v>
      </c>
      <c r="AA130" s="64">
        <f t="shared" si="25"/>
        <v>0.38461538461538464</v>
      </c>
      <c r="AB130" s="12" t="str">
        <f t="shared" si="26"/>
        <v>0.60-1.00</v>
      </c>
    </row>
    <row r="131" spans="1:28" x14ac:dyDescent="0.3">
      <c r="A131" s="7">
        <v>318</v>
      </c>
      <c r="B131" s="4">
        <v>475.3130000000001</v>
      </c>
      <c r="C131" s="25">
        <v>318</v>
      </c>
      <c r="D131" s="26">
        <v>475.3130000000001</v>
      </c>
      <c r="E131" s="3"/>
      <c r="F131" s="8"/>
      <c r="I131" s="15">
        <v>18.766000000000005</v>
      </c>
      <c r="J131" s="14">
        <v>384</v>
      </c>
      <c r="K131">
        <v>306</v>
      </c>
      <c r="L131" s="3">
        <v>251</v>
      </c>
      <c r="M131" s="14">
        <v>0.23870967741935484</v>
      </c>
      <c r="N131" s="8">
        <v>0.25490196078431371</v>
      </c>
      <c r="O131" s="67">
        <v>18.766000000000005</v>
      </c>
      <c r="P131" s="34">
        <v>384</v>
      </c>
      <c r="Q131" s="34">
        <v>306</v>
      </c>
      <c r="R131" s="35">
        <v>251</v>
      </c>
      <c r="S131" s="34">
        <v>0.23870967741935484</v>
      </c>
      <c r="T131" s="46">
        <v>0.25490196078431371</v>
      </c>
      <c r="U131" s="52">
        <f t="shared" si="20"/>
        <v>0.52988047808764938</v>
      </c>
      <c r="Y131">
        <v>26</v>
      </c>
      <c r="Z131">
        <v>26</v>
      </c>
      <c r="AA131">
        <v>26</v>
      </c>
    </row>
    <row r="132" spans="1:28" x14ac:dyDescent="0.3">
      <c r="A132" s="7">
        <v>310</v>
      </c>
      <c r="B132" s="4">
        <v>19.219000000000051</v>
      </c>
      <c r="C132" s="25">
        <v>310</v>
      </c>
      <c r="D132" s="26">
        <v>19.219000000000051</v>
      </c>
      <c r="E132" s="3"/>
      <c r="F132" s="8"/>
      <c r="I132" s="15">
        <v>16.765000000000001</v>
      </c>
      <c r="J132" s="14">
        <v>361</v>
      </c>
      <c r="K132">
        <v>291</v>
      </c>
      <c r="L132" s="3">
        <v>280</v>
      </c>
      <c r="M132" s="14">
        <v>0.17207792207792208</v>
      </c>
      <c r="N132" s="8">
        <v>0.24054982817869416</v>
      </c>
      <c r="O132" s="67">
        <v>16.765000000000001</v>
      </c>
      <c r="P132" s="34">
        <v>361</v>
      </c>
      <c r="Q132" s="34">
        <v>291</v>
      </c>
      <c r="R132" s="35">
        <v>280</v>
      </c>
      <c r="S132" s="34">
        <v>0.17207792207792208</v>
      </c>
      <c r="T132" s="46">
        <v>0.24054982817869416</v>
      </c>
      <c r="U132" s="52">
        <f t="shared" si="20"/>
        <v>0.28928571428571431</v>
      </c>
      <c r="Y132">
        <f>SUM(Y124:Y130)</f>
        <v>1</v>
      </c>
      <c r="Z132">
        <f>SUM(Z124:Z130)</f>
        <v>1</v>
      </c>
      <c r="AA132">
        <f>SUM(AA124:AA130)</f>
        <v>1</v>
      </c>
    </row>
    <row r="133" spans="1:28" x14ac:dyDescent="0.3">
      <c r="A133" s="7">
        <v>308</v>
      </c>
      <c r="B133" s="4">
        <v>9.6879999999998745</v>
      </c>
      <c r="C133" s="25">
        <v>308</v>
      </c>
      <c r="D133" s="26">
        <v>9.6879999999998745</v>
      </c>
      <c r="E133" s="3"/>
      <c r="F133" s="8"/>
      <c r="I133" s="15">
        <v>15.812999999999988</v>
      </c>
      <c r="J133" s="14">
        <v>412</v>
      </c>
      <c r="K133">
        <v>278</v>
      </c>
      <c r="L133" s="3">
        <v>269</v>
      </c>
      <c r="M133" s="14">
        <v>0.24848484848484848</v>
      </c>
      <c r="N133" s="8">
        <v>0.48201438848920863</v>
      </c>
      <c r="O133" s="67">
        <v>15.812999999999988</v>
      </c>
      <c r="P133" s="34">
        <v>412</v>
      </c>
      <c r="Q133" s="34">
        <v>278</v>
      </c>
      <c r="R133" s="35">
        <v>269</v>
      </c>
      <c r="S133" s="34">
        <v>0.24848484848484848</v>
      </c>
      <c r="T133" s="46">
        <v>0.48201438848920863</v>
      </c>
      <c r="U133" s="52">
        <f>(P133-R133)/R133</f>
        <v>0.53159851301115246</v>
      </c>
    </row>
    <row r="134" spans="1:28" x14ac:dyDescent="0.3">
      <c r="A134" s="7">
        <v>330</v>
      </c>
      <c r="B134" s="4">
        <v>58.094000000000051</v>
      </c>
      <c r="C134" s="25">
        <v>330</v>
      </c>
      <c r="D134" s="26">
        <v>58.094000000000051</v>
      </c>
      <c r="E134" s="3"/>
      <c r="F134" s="8"/>
      <c r="I134" s="15">
        <v>18.250000000000014</v>
      </c>
      <c r="J134" s="14">
        <v>421</v>
      </c>
      <c r="K134">
        <v>314</v>
      </c>
      <c r="L134" s="3">
        <v>248</v>
      </c>
      <c r="M134" s="14">
        <v>0.38943894389438943</v>
      </c>
      <c r="N134" s="8">
        <v>0.34076433121019106</v>
      </c>
      <c r="O134" s="67">
        <v>18.250000000000014</v>
      </c>
      <c r="P134" s="46">
        <v>421</v>
      </c>
      <c r="Q134" s="34">
        <v>314</v>
      </c>
      <c r="R134" s="35">
        <v>248</v>
      </c>
      <c r="S134" s="34">
        <v>0.38943894389438943</v>
      </c>
      <c r="T134" s="46">
        <v>0.34076433121019106</v>
      </c>
      <c r="U134" s="52">
        <f>(P134-R134)/R134</f>
        <v>0.69758064516129037</v>
      </c>
    </row>
    <row r="135" spans="1:28" x14ac:dyDescent="0.3">
      <c r="A135" s="7">
        <v>303</v>
      </c>
      <c r="B135" s="4">
        <v>7.0779999999999745</v>
      </c>
      <c r="C135" s="25"/>
      <c r="D135" s="26"/>
      <c r="E135" s="3"/>
      <c r="F135" s="8"/>
      <c r="I135" s="15">
        <v>20.85899999999998</v>
      </c>
      <c r="J135" s="14">
        <v>428</v>
      </c>
      <c r="K135">
        <v>277</v>
      </c>
      <c r="L135" s="3">
        <v>267</v>
      </c>
      <c r="M135" s="14">
        <v>0.28143712574850299</v>
      </c>
      <c r="N135" s="8">
        <v>0.54512635379061369</v>
      </c>
      <c r="O135" s="67"/>
      <c r="P135" s="34"/>
      <c r="Q135" s="34"/>
      <c r="R135" s="35"/>
      <c r="S135" s="34"/>
      <c r="T135" s="46"/>
      <c r="U135" s="52"/>
    </row>
    <row r="136" spans="1:28" x14ac:dyDescent="0.3">
      <c r="A136" s="7">
        <v>334</v>
      </c>
      <c r="B136" s="4">
        <v>1002.0940000000001</v>
      </c>
      <c r="C136" s="25"/>
      <c r="D136" s="26"/>
      <c r="E136" s="3"/>
      <c r="F136" s="8"/>
      <c r="I136" s="15">
        <v>20.532000000000011</v>
      </c>
      <c r="J136" s="14">
        <v>430</v>
      </c>
      <c r="K136">
        <v>292</v>
      </c>
      <c r="L136" s="3">
        <v>244</v>
      </c>
      <c r="M136" s="14">
        <v>0.27596439169139464</v>
      </c>
      <c r="N136" s="8">
        <v>0.4726027397260274</v>
      </c>
      <c r="O136" s="67"/>
      <c r="P136" s="34"/>
      <c r="Q136" s="34"/>
      <c r="R136" s="35"/>
      <c r="S136" s="34"/>
      <c r="T136" s="46"/>
      <c r="U136" s="52"/>
    </row>
    <row r="137" spans="1:28" x14ac:dyDescent="0.3">
      <c r="A137" s="7">
        <v>337</v>
      </c>
      <c r="B137" s="4">
        <v>109.79700000000003</v>
      </c>
      <c r="C137" s="25">
        <v>337</v>
      </c>
      <c r="D137" s="26">
        <v>109.79700000000003</v>
      </c>
      <c r="E137" s="3"/>
      <c r="F137" s="8"/>
      <c r="I137" s="15">
        <v>19.578000000000003</v>
      </c>
      <c r="J137" s="14">
        <v>433</v>
      </c>
      <c r="K137">
        <v>298</v>
      </c>
      <c r="L137" s="3">
        <v>259</v>
      </c>
      <c r="M137" s="14">
        <v>0.51398601398601396</v>
      </c>
      <c r="N137" s="8">
        <v>0.45302013422818793</v>
      </c>
      <c r="O137" s="67">
        <v>19.578000000000003</v>
      </c>
      <c r="P137" s="34">
        <v>433</v>
      </c>
      <c r="Q137" s="34">
        <v>298</v>
      </c>
      <c r="R137" s="35">
        <v>259</v>
      </c>
      <c r="S137" s="34">
        <v>0.51398601398601396</v>
      </c>
      <c r="T137" s="46">
        <v>0.45302013422818793</v>
      </c>
      <c r="U137" s="52">
        <f>(P137-R137)/R137</f>
        <v>0.6718146718146718</v>
      </c>
    </row>
    <row r="138" spans="1:28" x14ac:dyDescent="0.3">
      <c r="A138" s="7">
        <v>286</v>
      </c>
      <c r="B138" s="4">
        <v>219</v>
      </c>
      <c r="C138" s="25">
        <v>286</v>
      </c>
      <c r="D138" s="26">
        <v>219</v>
      </c>
      <c r="E138" s="3"/>
      <c r="F138" s="8"/>
      <c r="I138" s="15">
        <v>20.014999999999986</v>
      </c>
      <c r="J138" s="14">
        <v>346</v>
      </c>
      <c r="K138">
        <v>253</v>
      </c>
      <c r="L138" s="3">
        <v>231</v>
      </c>
      <c r="M138" s="14">
        <v>0.2013888888888889</v>
      </c>
      <c r="N138" s="8">
        <v>0.3675889328063241</v>
      </c>
      <c r="O138" s="67">
        <v>20.014999999999986</v>
      </c>
      <c r="P138" s="34">
        <v>346</v>
      </c>
      <c r="Q138" s="34">
        <v>253</v>
      </c>
      <c r="R138" s="35">
        <v>231</v>
      </c>
      <c r="S138" s="34">
        <v>0.2013888888888889</v>
      </c>
      <c r="T138" s="46">
        <v>0.3675889328063241</v>
      </c>
      <c r="U138" s="52">
        <f>(P138-R138)/R138</f>
        <v>0.49783549783549785</v>
      </c>
    </row>
    <row r="139" spans="1:28" x14ac:dyDescent="0.3">
      <c r="A139" s="7">
        <v>288</v>
      </c>
      <c r="B139" s="4">
        <v>39.360000000000127</v>
      </c>
      <c r="C139" s="25">
        <v>288</v>
      </c>
      <c r="D139" s="26">
        <v>39.360000000000127</v>
      </c>
      <c r="E139" s="3"/>
      <c r="F139" s="8"/>
      <c r="I139" s="15">
        <v>18.921999999999997</v>
      </c>
      <c r="J139" s="14">
        <v>374</v>
      </c>
      <c r="K139">
        <v>266</v>
      </c>
      <c r="L139" s="3">
        <v>258</v>
      </c>
      <c r="M139" s="14">
        <v>0.25925925925925924</v>
      </c>
      <c r="N139" s="8">
        <v>0.40601503759398494</v>
      </c>
      <c r="O139" s="67">
        <v>18.921999999999997</v>
      </c>
      <c r="P139" s="34">
        <v>374</v>
      </c>
      <c r="Q139" s="34">
        <v>266</v>
      </c>
      <c r="R139" s="35">
        <v>258</v>
      </c>
      <c r="S139" s="34">
        <v>0.25925925925925924</v>
      </c>
      <c r="T139" s="46">
        <v>0.40601503759398494</v>
      </c>
      <c r="U139" s="52">
        <f>(P139-R139)/R139</f>
        <v>0.44961240310077522</v>
      </c>
    </row>
    <row r="140" spans="1:28" x14ac:dyDescent="0.3">
      <c r="A140" s="7">
        <v>297</v>
      </c>
      <c r="B140" s="4">
        <v>11.983999999999924</v>
      </c>
      <c r="C140" s="25">
        <v>297</v>
      </c>
      <c r="D140" s="26">
        <v>11.983999999999924</v>
      </c>
      <c r="E140" s="3"/>
      <c r="F140" s="8"/>
      <c r="I140" s="15">
        <v>19.875</v>
      </c>
      <c r="J140" s="14">
        <v>376</v>
      </c>
      <c r="K140">
        <v>275</v>
      </c>
      <c r="L140" s="3">
        <v>258</v>
      </c>
      <c r="M140" s="14">
        <v>0.17133956386292834</v>
      </c>
      <c r="N140" s="8">
        <v>0.36727272727272725</v>
      </c>
      <c r="O140" s="67">
        <v>19.875</v>
      </c>
      <c r="P140" s="34">
        <v>376</v>
      </c>
      <c r="Q140" s="34">
        <v>275</v>
      </c>
      <c r="R140" s="35">
        <v>258</v>
      </c>
      <c r="S140" s="34">
        <v>0.17133956386292834</v>
      </c>
      <c r="T140" s="46">
        <v>0.36727272727272725</v>
      </c>
      <c r="U140" s="52">
        <f>(P140-R140)/R140</f>
        <v>0.4573643410852713</v>
      </c>
    </row>
    <row r="141" spans="1:28" x14ac:dyDescent="0.3">
      <c r="A141" s="7">
        <v>321</v>
      </c>
      <c r="B141" s="4">
        <v>63.594000000000051</v>
      </c>
      <c r="C141" s="25">
        <v>321</v>
      </c>
      <c r="D141" s="26">
        <v>63.594000000000051</v>
      </c>
      <c r="E141" s="3"/>
      <c r="F141" s="8"/>
      <c r="I141" s="15">
        <v>19.578000000000031</v>
      </c>
      <c r="J141" s="14">
        <v>432</v>
      </c>
      <c r="K141">
        <v>303</v>
      </c>
      <c r="L141" s="3">
        <v>244</v>
      </c>
      <c r="M141" s="14">
        <v>0.43046357615894038</v>
      </c>
      <c r="N141" s="8">
        <v>0.42574257425742573</v>
      </c>
      <c r="O141" s="67">
        <v>19.578000000000031</v>
      </c>
      <c r="P141" s="34">
        <v>432</v>
      </c>
      <c r="Q141" s="34">
        <v>303</v>
      </c>
      <c r="R141" s="35">
        <v>244</v>
      </c>
      <c r="S141" s="34">
        <v>0.43046357615894038</v>
      </c>
      <c r="T141" s="46">
        <v>0.42574257425742573</v>
      </c>
      <c r="U141" s="52">
        <f>(P141-R141)/R141</f>
        <v>0.77049180327868849</v>
      </c>
    </row>
    <row r="142" spans="1:28" x14ac:dyDescent="0.3">
      <c r="A142" s="7">
        <v>302</v>
      </c>
      <c r="B142" s="4">
        <v>8.14</v>
      </c>
      <c r="C142" s="25"/>
      <c r="D142" s="26"/>
      <c r="E142" s="3"/>
      <c r="F142" s="8"/>
      <c r="I142" s="15">
        <v>13.25</v>
      </c>
      <c r="J142" s="14">
        <v>385</v>
      </c>
      <c r="K142">
        <v>266</v>
      </c>
      <c r="L142" s="3">
        <v>265</v>
      </c>
      <c r="M142" s="14">
        <v>0.43046357615894038</v>
      </c>
      <c r="N142" s="8">
        <v>0.42574257425742573</v>
      </c>
      <c r="O142" s="67"/>
      <c r="P142" s="34"/>
      <c r="Q142" s="34"/>
      <c r="R142" s="35"/>
      <c r="S142" s="34"/>
      <c r="T142" s="46"/>
      <c r="U142" s="52"/>
    </row>
    <row r="143" spans="1:28" x14ac:dyDescent="0.3">
      <c r="A143" s="7">
        <v>317</v>
      </c>
      <c r="B143" s="4">
        <v>15.4</v>
      </c>
      <c r="C143" s="25">
        <v>317</v>
      </c>
      <c r="D143" s="26">
        <v>15.4</v>
      </c>
      <c r="E143" s="3"/>
      <c r="F143" s="8"/>
      <c r="I143" s="15">
        <v>15</v>
      </c>
      <c r="J143" s="14">
        <v>408</v>
      </c>
      <c r="K143" s="4">
        <v>307</v>
      </c>
      <c r="L143" s="3">
        <v>243</v>
      </c>
      <c r="M143" s="14">
        <f t="shared" ref="M143:M152" si="27">(J143-C143)/C143</f>
        <v>0.28706624605678233</v>
      </c>
      <c r="N143" s="8">
        <f t="shared" ref="N143:N152" si="28">(J143-K143)/K143</f>
        <v>0.3289902280130293</v>
      </c>
      <c r="O143" s="67">
        <v>15</v>
      </c>
      <c r="P143" s="34">
        <v>408</v>
      </c>
      <c r="Q143" s="34">
        <v>307</v>
      </c>
      <c r="R143" s="35">
        <v>243</v>
      </c>
      <c r="S143" s="34">
        <v>0.28706624605678233</v>
      </c>
      <c r="T143" s="46">
        <v>0.3289902280130293</v>
      </c>
      <c r="U143" s="52">
        <f t="shared" ref="U143:U148" si="29">(P143-R143)/R143</f>
        <v>0.67901234567901236</v>
      </c>
    </row>
    <row r="144" spans="1:28" x14ac:dyDescent="0.3">
      <c r="A144" s="7">
        <v>325</v>
      </c>
      <c r="B144" s="4">
        <v>13.718000000000002</v>
      </c>
      <c r="C144" s="25">
        <v>325</v>
      </c>
      <c r="D144" s="26">
        <v>13.718000000000002</v>
      </c>
      <c r="E144" s="3"/>
      <c r="F144" s="8"/>
      <c r="I144" s="15">
        <v>14.438000000000002</v>
      </c>
      <c r="J144" s="14">
        <v>386</v>
      </c>
      <c r="K144" s="4">
        <v>319</v>
      </c>
      <c r="L144" s="3">
        <v>250</v>
      </c>
      <c r="M144" s="14">
        <f t="shared" si="27"/>
        <v>0.18769230769230769</v>
      </c>
      <c r="N144" s="8">
        <f t="shared" si="28"/>
        <v>0.21003134796238246</v>
      </c>
      <c r="O144" s="67">
        <v>14.438000000000002</v>
      </c>
      <c r="P144" s="34">
        <v>386</v>
      </c>
      <c r="Q144" s="34">
        <v>319</v>
      </c>
      <c r="R144" s="35">
        <v>250</v>
      </c>
      <c r="S144" s="34">
        <v>0.18769230769230769</v>
      </c>
      <c r="T144" s="46">
        <v>0.21003134796238246</v>
      </c>
      <c r="U144" s="52">
        <f t="shared" si="29"/>
        <v>0.54400000000000004</v>
      </c>
    </row>
    <row r="145" spans="1:37" x14ac:dyDescent="0.3">
      <c r="A145" s="7">
        <v>318</v>
      </c>
      <c r="B145" s="4">
        <v>33.170999999999992</v>
      </c>
      <c r="C145" s="25">
        <v>318</v>
      </c>
      <c r="D145" s="26">
        <v>33.170999999999992</v>
      </c>
      <c r="E145" s="3"/>
      <c r="F145" s="8"/>
      <c r="I145" s="15">
        <v>17.218999999999994</v>
      </c>
      <c r="J145" s="14">
        <v>431</v>
      </c>
      <c r="K145" s="4">
        <v>305</v>
      </c>
      <c r="L145" s="3">
        <v>256</v>
      </c>
      <c r="M145" s="14">
        <f t="shared" si="27"/>
        <v>0.35534591194968551</v>
      </c>
      <c r="N145" s="8">
        <f t="shared" si="28"/>
        <v>0.41311475409836068</v>
      </c>
      <c r="O145" s="67">
        <v>17.218999999999994</v>
      </c>
      <c r="P145" s="34">
        <v>431</v>
      </c>
      <c r="Q145" s="34">
        <v>305</v>
      </c>
      <c r="R145" s="35">
        <v>256</v>
      </c>
      <c r="S145" s="34">
        <v>0.35534591194968551</v>
      </c>
      <c r="T145" s="46">
        <v>0.41311475409836068</v>
      </c>
      <c r="U145" s="52">
        <f t="shared" si="29"/>
        <v>0.68359375</v>
      </c>
    </row>
    <row r="146" spans="1:37" x14ac:dyDescent="0.3">
      <c r="A146" s="7">
        <v>316</v>
      </c>
      <c r="B146" s="4">
        <v>181.20300000000003</v>
      </c>
      <c r="C146" s="25">
        <v>316</v>
      </c>
      <c r="D146" s="26">
        <v>181.20300000000003</v>
      </c>
      <c r="E146" s="3"/>
      <c r="F146" s="8"/>
      <c r="I146" s="15">
        <v>15.843000000000004</v>
      </c>
      <c r="J146" s="14">
        <v>429</v>
      </c>
      <c r="K146" s="4">
        <v>296</v>
      </c>
      <c r="L146" s="3">
        <v>235</v>
      </c>
      <c r="M146" s="14">
        <f t="shared" si="27"/>
        <v>0.35759493670886078</v>
      </c>
      <c r="N146" s="8">
        <f t="shared" si="28"/>
        <v>0.44932432432432434</v>
      </c>
      <c r="O146" s="67">
        <v>15.843000000000004</v>
      </c>
      <c r="P146" s="34">
        <v>429</v>
      </c>
      <c r="Q146" s="34">
        <v>296</v>
      </c>
      <c r="R146" s="35">
        <v>235</v>
      </c>
      <c r="S146" s="34">
        <v>0.35759493670886078</v>
      </c>
      <c r="T146" s="46">
        <v>0.44932432432432434</v>
      </c>
      <c r="U146" s="52">
        <f t="shared" si="29"/>
        <v>0.82553191489361699</v>
      </c>
    </row>
    <row r="147" spans="1:37" x14ac:dyDescent="0.3">
      <c r="A147" s="7">
        <v>297</v>
      </c>
      <c r="B147" s="4">
        <v>56.110000000000014</v>
      </c>
      <c r="C147" s="25">
        <v>297</v>
      </c>
      <c r="D147" s="26">
        <v>56.110000000000014</v>
      </c>
      <c r="E147" s="3"/>
      <c r="F147" s="8"/>
      <c r="I147" s="15">
        <v>16.156999999999996</v>
      </c>
      <c r="J147" s="14">
        <v>372</v>
      </c>
      <c r="K147" s="4">
        <v>286</v>
      </c>
      <c r="L147" s="3">
        <v>241</v>
      </c>
      <c r="M147" s="14">
        <f t="shared" si="27"/>
        <v>0.25252525252525254</v>
      </c>
      <c r="N147" s="8">
        <f t="shared" si="28"/>
        <v>0.30069930069930068</v>
      </c>
      <c r="O147" s="67">
        <v>16.156999999999996</v>
      </c>
      <c r="P147" s="34">
        <v>372</v>
      </c>
      <c r="Q147" s="34">
        <v>286</v>
      </c>
      <c r="R147" s="35">
        <v>241</v>
      </c>
      <c r="S147" s="34">
        <v>0.25252525252525254</v>
      </c>
      <c r="T147" s="46">
        <v>0.30069930069930068</v>
      </c>
      <c r="U147" s="52">
        <f t="shared" si="29"/>
        <v>0.54356846473029041</v>
      </c>
    </row>
    <row r="148" spans="1:37" x14ac:dyDescent="0.3">
      <c r="A148" s="7">
        <v>309</v>
      </c>
      <c r="B148" s="4">
        <v>59.921999999999969</v>
      </c>
      <c r="C148" s="25">
        <v>309</v>
      </c>
      <c r="D148" s="26">
        <v>59.921999999999969</v>
      </c>
      <c r="E148" s="3"/>
      <c r="F148" s="8"/>
      <c r="I148" s="15">
        <v>17.436999999999998</v>
      </c>
      <c r="J148" s="14">
        <v>414</v>
      </c>
      <c r="K148" s="4">
        <v>268</v>
      </c>
      <c r="L148" s="3">
        <v>248</v>
      </c>
      <c r="M148" s="14">
        <f t="shared" si="27"/>
        <v>0.33980582524271846</v>
      </c>
      <c r="N148" s="8">
        <f t="shared" si="28"/>
        <v>0.54477611940298509</v>
      </c>
      <c r="O148" s="67">
        <v>17.436999999999998</v>
      </c>
      <c r="P148" s="34">
        <v>414</v>
      </c>
      <c r="Q148" s="34">
        <v>268</v>
      </c>
      <c r="R148" s="35">
        <v>248</v>
      </c>
      <c r="S148" s="34">
        <v>0.33980582524271846</v>
      </c>
      <c r="T148" s="46">
        <v>0.54477611940298509</v>
      </c>
      <c r="U148" s="52">
        <f t="shared" si="29"/>
        <v>0.66935483870967738</v>
      </c>
    </row>
    <row r="149" spans="1:37" x14ac:dyDescent="0.3">
      <c r="A149" s="7">
        <v>325</v>
      </c>
      <c r="B149" s="4">
        <v>4873.3119999999999</v>
      </c>
      <c r="C149" s="25"/>
      <c r="D149" s="26"/>
      <c r="E149" s="3"/>
      <c r="F149" s="8"/>
      <c r="I149" s="15">
        <v>17.281000000000006</v>
      </c>
      <c r="J149" s="14">
        <v>430</v>
      </c>
      <c r="K149" s="4">
        <v>301</v>
      </c>
      <c r="L149" s="3">
        <v>264</v>
      </c>
      <c r="M149" s="14" t="e">
        <f t="shared" si="27"/>
        <v>#DIV/0!</v>
      </c>
      <c r="N149" s="8">
        <f t="shared" si="28"/>
        <v>0.42857142857142855</v>
      </c>
      <c r="O149" s="67"/>
      <c r="P149" s="34"/>
      <c r="Q149" s="34"/>
      <c r="R149" s="35"/>
      <c r="S149" s="34"/>
      <c r="T149" s="46"/>
      <c r="U149" s="52"/>
    </row>
    <row r="150" spans="1:37" x14ac:dyDescent="0.3">
      <c r="A150" s="7">
        <v>323</v>
      </c>
      <c r="B150" s="4">
        <v>78.25</v>
      </c>
      <c r="C150" s="25">
        <v>323</v>
      </c>
      <c r="D150" s="26">
        <v>78.25</v>
      </c>
      <c r="E150" s="3"/>
      <c r="F150" s="8"/>
      <c r="I150" s="15">
        <v>15.921999999999997</v>
      </c>
      <c r="J150" s="14">
        <v>408</v>
      </c>
      <c r="K150" s="4">
        <v>295</v>
      </c>
      <c r="L150" s="3">
        <v>261</v>
      </c>
      <c r="M150" s="14">
        <f t="shared" si="27"/>
        <v>0.26315789473684209</v>
      </c>
      <c r="N150" s="8">
        <f t="shared" si="28"/>
        <v>0.38305084745762713</v>
      </c>
      <c r="O150" s="67">
        <v>15.921999999999997</v>
      </c>
      <c r="P150" s="34">
        <v>408</v>
      </c>
      <c r="Q150" s="34">
        <v>295</v>
      </c>
      <c r="R150" s="35">
        <v>261</v>
      </c>
      <c r="S150" s="34">
        <v>0.26315789473684209</v>
      </c>
      <c r="T150" s="46">
        <v>0.38305084745762713</v>
      </c>
      <c r="U150" s="52">
        <f>(P150-R150)/R150</f>
        <v>0.56321839080459768</v>
      </c>
    </row>
    <row r="151" spans="1:37" x14ac:dyDescent="0.3">
      <c r="A151" s="7">
        <v>311</v>
      </c>
      <c r="B151" s="4">
        <v>32.671999999999571</v>
      </c>
      <c r="C151" s="25">
        <v>311</v>
      </c>
      <c r="D151" s="26">
        <v>32.671999999999571</v>
      </c>
      <c r="E151" s="3"/>
      <c r="F151" s="8"/>
      <c r="I151" s="15">
        <v>16.578000000000003</v>
      </c>
      <c r="J151" s="14">
        <v>369</v>
      </c>
      <c r="K151" s="4">
        <v>286</v>
      </c>
      <c r="L151" s="3">
        <v>276</v>
      </c>
      <c r="M151" s="14">
        <f t="shared" si="27"/>
        <v>0.18649517684887459</v>
      </c>
      <c r="N151" s="8">
        <f t="shared" si="28"/>
        <v>0.29020979020979021</v>
      </c>
      <c r="O151" s="67">
        <v>16.578000000000003</v>
      </c>
      <c r="P151" s="34">
        <v>369</v>
      </c>
      <c r="Q151" s="34">
        <v>286</v>
      </c>
      <c r="R151" s="35">
        <v>276</v>
      </c>
      <c r="S151" s="34">
        <v>0.18649517684887459</v>
      </c>
      <c r="T151" s="46">
        <v>0.29020979020979021</v>
      </c>
      <c r="U151" s="52">
        <f>(P151-R151)/R151</f>
        <v>0.33695652173913043</v>
      </c>
    </row>
    <row r="152" spans="1:37" ht="15" thickBot="1" x14ac:dyDescent="0.35">
      <c r="A152" s="9">
        <v>317</v>
      </c>
      <c r="B152" s="10">
        <v>51.891000000000531</v>
      </c>
      <c r="C152" s="30">
        <v>317</v>
      </c>
      <c r="D152" s="31">
        <v>51.891000000000531</v>
      </c>
      <c r="E152" s="11"/>
      <c r="F152" s="12"/>
      <c r="G152" s="21"/>
      <c r="H152" s="21"/>
      <c r="I152" s="16">
        <v>17.296999999999997</v>
      </c>
      <c r="J152" s="73">
        <v>396</v>
      </c>
      <c r="K152" s="10">
        <v>293</v>
      </c>
      <c r="L152" s="11">
        <v>239</v>
      </c>
      <c r="M152" s="17">
        <f t="shared" si="27"/>
        <v>0.24921135646687698</v>
      </c>
      <c r="N152" s="12">
        <f t="shared" si="28"/>
        <v>0.35153583617747441</v>
      </c>
      <c r="O152" s="68">
        <v>17.296999999999997</v>
      </c>
      <c r="P152" s="36">
        <v>396</v>
      </c>
      <c r="Q152" s="36">
        <v>293</v>
      </c>
      <c r="R152" s="37">
        <v>239</v>
      </c>
      <c r="S152" s="36">
        <v>0.24921135646687698</v>
      </c>
      <c r="T152" s="47">
        <v>0.35153583617747441</v>
      </c>
      <c r="U152" s="54">
        <f>(P152-R152)/R152</f>
        <v>0.65690376569037656</v>
      </c>
    </row>
    <row r="154" spans="1:37" x14ac:dyDescent="0.3">
      <c r="W154" s="44" t="s">
        <v>21</v>
      </c>
      <c r="X154">
        <v>0.05</v>
      </c>
    </row>
    <row r="155" spans="1:37" x14ac:dyDescent="0.3">
      <c r="A155">
        <f>AVERAGE(A123:A152)</f>
        <v>311.66666666666669</v>
      </c>
      <c r="D155">
        <f>AVERAGE(D123:D152)</f>
        <v>105.50634615384617</v>
      </c>
      <c r="E155" t="s">
        <v>17</v>
      </c>
      <c r="I155">
        <f>AVERAGE(I123:I152)</f>
        <v>18.220299999999998</v>
      </c>
      <c r="O155">
        <f>AVERAGE(O123:O152)</f>
        <v>18.257192307692307</v>
      </c>
      <c r="P155" t="s">
        <v>17</v>
      </c>
      <c r="V155" t="s">
        <v>26</v>
      </c>
      <c r="W155" s="44" t="s">
        <v>19</v>
      </c>
      <c r="X155">
        <f>_xlfn.T.TEST(C123:C152,O123:O152,1,3)</f>
        <v>2.493864909043291E-39</v>
      </c>
      <c r="Y155" s="121" t="s">
        <v>40</v>
      </c>
      <c r="Z155" s="121"/>
      <c r="AA155" s="121"/>
      <c r="AB155" s="121"/>
      <c r="AC155" s="121"/>
      <c r="AD155" t="s">
        <v>24</v>
      </c>
      <c r="AE155" s="121" t="s">
        <v>41</v>
      </c>
      <c r="AF155" s="121"/>
      <c r="AG155" s="121"/>
      <c r="AH155" s="121"/>
      <c r="AI155" s="121"/>
      <c r="AJ155" s="121"/>
      <c r="AK155" s="121"/>
    </row>
    <row r="156" spans="1:37" x14ac:dyDescent="0.3">
      <c r="D156">
        <f>_xlfn.STDEV.S(D123:D152)</f>
        <v>164.84533278705644</v>
      </c>
      <c r="E156" s="44">
        <f>D156/D155</f>
        <v>1.5624210182265619</v>
      </c>
      <c r="O156">
        <f>_xlfn.STDEV.S(O123:O152)</f>
        <v>3.944612579397174</v>
      </c>
      <c r="P156" s="44">
        <f>O156/O155</f>
        <v>0.21605800677989187</v>
      </c>
      <c r="W156" s="44"/>
      <c r="Y156" s="121"/>
      <c r="Z156" s="121"/>
      <c r="AA156" s="121"/>
      <c r="AB156" s="121"/>
      <c r="AC156" s="121"/>
      <c r="AE156" s="121"/>
      <c r="AF156" s="121"/>
      <c r="AG156" s="121"/>
      <c r="AH156" s="121"/>
      <c r="AI156" s="121"/>
      <c r="AJ156" s="121"/>
      <c r="AK156" s="121"/>
    </row>
    <row r="159" spans="1:37" x14ac:dyDescent="0.3">
      <c r="V159" t="s">
        <v>63</v>
      </c>
    </row>
    <row r="180" spans="1:4" x14ac:dyDescent="0.3">
      <c r="A180" s="44" t="s">
        <v>42</v>
      </c>
    </row>
    <row r="181" spans="1:4" x14ac:dyDescent="0.3">
      <c r="B181" t="s">
        <v>43</v>
      </c>
      <c r="C181" t="s">
        <v>44</v>
      </c>
      <c r="D181" t="s">
        <v>8</v>
      </c>
    </row>
    <row r="182" spans="1:4" x14ac:dyDescent="0.3">
      <c r="A182" t="s">
        <v>45</v>
      </c>
      <c r="B182" s="127">
        <v>0.11027205193232725</v>
      </c>
      <c r="C182" s="127">
        <v>0.20673585019658247</v>
      </c>
      <c r="D182" s="127">
        <v>0.35185129036196233</v>
      </c>
    </row>
    <row r="183" spans="1:4" x14ac:dyDescent="0.3">
      <c r="A183" t="s">
        <v>99</v>
      </c>
      <c r="B183" s="127">
        <v>0.20532206237183054</v>
      </c>
      <c r="C183" s="127">
        <v>0.29541715222718573</v>
      </c>
      <c r="D183" s="127">
        <v>0.46149752413576989</v>
      </c>
    </row>
    <row r="184" spans="1:4" x14ac:dyDescent="0.3">
      <c r="A184" t="s">
        <v>47</v>
      </c>
      <c r="B184" s="127">
        <v>0.27374309644401051</v>
      </c>
      <c r="C184" s="127">
        <v>0.37379434050537197</v>
      </c>
      <c r="D184" s="127">
        <v>0.56325801428356936</v>
      </c>
    </row>
    <row r="186" spans="1:4" x14ac:dyDescent="0.3">
      <c r="B186" t="s">
        <v>83</v>
      </c>
      <c r="C186" t="s">
        <v>82</v>
      </c>
    </row>
    <row r="187" spans="1:4" x14ac:dyDescent="0.3">
      <c r="A187" t="s">
        <v>45</v>
      </c>
      <c r="B187">
        <v>0.10453333333333334</v>
      </c>
      <c r="C187">
        <v>1.6474</v>
      </c>
      <c r="D187">
        <v>4.2956464517245888E-33</v>
      </c>
    </row>
    <row r="188" spans="1:4" x14ac:dyDescent="0.3">
      <c r="A188" t="s">
        <v>99</v>
      </c>
      <c r="B188">
        <v>2.1998214285714286</v>
      </c>
      <c r="C188">
        <v>5.774</v>
      </c>
      <c r="D188">
        <v>1.8930725989037943E-12</v>
      </c>
    </row>
    <row r="189" spans="1:4" x14ac:dyDescent="0.3">
      <c r="A189" t="s">
        <v>47</v>
      </c>
      <c r="B189">
        <v>105.50634615384617</v>
      </c>
      <c r="C189">
        <v>18.257192307692307</v>
      </c>
      <c r="D189">
        <v>2.493864909043291E-39</v>
      </c>
    </row>
  </sheetData>
  <mergeCells count="12">
    <mergeCell ref="A121:F121"/>
    <mergeCell ref="Y155:AC155"/>
    <mergeCell ref="AE155:AK156"/>
    <mergeCell ref="Y156:AC156"/>
    <mergeCell ref="A2:F2"/>
    <mergeCell ref="Y36:AC36"/>
    <mergeCell ref="AE36:AK37"/>
    <mergeCell ref="Y37:AC37"/>
    <mergeCell ref="A60:F60"/>
    <mergeCell ref="Y94:AC94"/>
    <mergeCell ref="AE94:AK95"/>
    <mergeCell ref="Y95:AC9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4696-C0AB-48A2-85DF-0896A01DA11E}">
  <dimension ref="A1:AD181"/>
  <sheetViews>
    <sheetView topLeftCell="A141" zoomScale="95" zoomScaleNormal="55" workbookViewId="0">
      <selection activeCell="D151" sqref="D151"/>
    </sheetView>
  </sheetViews>
  <sheetFormatPr defaultRowHeight="14.4" x14ac:dyDescent="0.3"/>
  <cols>
    <col min="1" max="1" width="19.33203125" customWidth="1"/>
    <col min="2" max="2" width="17.109375" customWidth="1"/>
    <col min="3" max="3" width="21.44140625" customWidth="1"/>
    <col min="4" max="4" width="19.77734375" customWidth="1"/>
    <col min="5" max="5" width="19.44140625" customWidth="1"/>
    <col min="6" max="6" width="23.6640625" customWidth="1"/>
    <col min="7" max="8" width="27.21875" customWidth="1"/>
    <col min="9" max="9" width="28.88671875" customWidth="1"/>
    <col min="10" max="10" width="23.44140625" customWidth="1"/>
    <col min="11" max="11" width="24.6640625" customWidth="1"/>
    <col min="12" max="12" width="20.77734375" customWidth="1"/>
    <col min="13" max="13" width="29.109375" customWidth="1"/>
    <col min="14" max="14" width="24.5546875" customWidth="1"/>
    <col min="15" max="15" width="18.44140625" customWidth="1"/>
    <col min="16" max="16" width="23" customWidth="1"/>
    <col min="17" max="17" width="17.21875" customWidth="1"/>
    <col min="18" max="18" width="19.77734375" customWidth="1"/>
    <col min="19" max="19" width="11.44140625" customWidth="1"/>
    <col min="20" max="20" width="4.88671875" customWidth="1"/>
    <col min="23" max="23" width="18.5546875" customWidth="1"/>
    <col min="24" max="24" width="12.77734375" customWidth="1"/>
    <col min="25" max="25" width="9.88671875" customWidth="1"/>
  </cols>
  <sheetData>
    <row r="1" spans="1:30" ht="15" thickBot="1" x14ac:dyDescent="0.35">
      <c r="A1" s="74" t="s">
        <v>53</v>
      </c>
    </row>
    <row r="2" spans="1:30" x14ac:dyDescent="0.3">
      <c r="A2" t="s">
        <v>0</v>
      </c>
      <c r="B2" t="s">
        <v>7</v>
      </c>
      <c r="C2" t="s">
        <v>4</v>
      </c>
      <c r="D2" t="s">
        <v>8</v>
      </c>
      <c r="E2" t="s">
        <v>43</v>
      </c>
      <c r="G2" s="5" t="s">
        <v>48</v>
      </c>
      <c r="H2" s="22" t="s">
        <v>59</v>
      </c>
      <c r="I2" s="6" t="s">
        <v>60</v>
      </c>
      <c r="J2" s="5" t="s">
        <v>49</v>
      </c>
      <c r="K2" s="22" t="s">
        <v>59</v>
      </c>
      <c r="L2" s="6" t="s">
        <v>60</v>
      </c>
      <c r="M2" s="5" t="s">
        <v>50</v>
      </c>
      <c r="N2" s="22" t="s">
        <v>59</v>
      </c>
      <c r="O2" s="6" t="s">
        <v>60</v>
      </c>
      <c r="P2" s="22" t="s">
        <v>51</v>
      </c>
      <c r="Q2" s="22" t="s">
        <v>59</v>
      </c>
      <c r="R2" s="22" t="s">
        <v>60</v>
      </c>
      <c r="S2" s="5" t="s">
        <v>52</v>
      </c>
      <c r="T2" s="22"/>
      <c r="U2" s="22" t="s">
        <v>59</v>
      </c>
      <c r="V2" s="6" t="s">
        <v>60</v>
      </c>
      <c r="W2" s="5" t="s">
        <v>56</v>
      </c>
      <c r="X2" s="22" t="s">
        <v>59</v>
      </c>
      <c r="Y2" s="6" t="s">
        <v>60</v>
      </c>
      <c r="AB2" s="5" t="s">
        <v>9</v>
      </c>
      <c r="AC2" s="22" t="s">
        <v>10</v>
      </c>
      <c r="AD2" s="6" t="s">
        <v>18</v>
      </c>
    </row>
    <row r="3" spans="1:30" x14ac:dyDescent="0.3">
      <c r="G3" s="7"/>
      <c r="I3" s="8"/>
      <c r="J3" s="7"/>
      <c r="L3" s="8"/>
      <c r="M3" s="7"/>
      <c r="O3" s="8"/>
      <c r="S3" s="7"/>
      <c r="V3" s="8"/>
      <c r="W3" s="7"/>
      <c r="Y3" s="8"/>
      <c r="AB3" s="7"/>
      <c r="AD3" s="8"/>
    </row>
    <row r="4" spans="1:30" x14ac:dyDescent="0.3">
      <c r="A4">
        <v>134</v>
      </c>
      <c r="B4">
        <v>117</v>
      </c>
      <c r="C4">
        <v>0.63</v>
      </c>
      <c r="D4">
        <v>116</v>
      </c>
      <c r="E4">
        <v>123</v>
      </c>
      <c r="G4" s="7">
        <v>4.7E-2</v>
      </c>
      <c r="H4">
        <v>76</v>
      </c>
      <c r="I4" s="8">
        <v>125</v>
      </c>
      <c r="J4" s="7">
        <v>1.282</v>
      </c>
      <c r="K4">
        <v>9338</v>
      </c>
      <c r="L4" s="8">
        <v>1990</v>
      </c>
      <c r="M4" s="7">
        <v>0.98399999999999999</v>
      </c>
      <c r="N4">
        <v>2988</v>
      </c>
      <c r="O4" s="8">
        <v>720</v>
      </c>
      <c r="P4">
        <v>2.141</v>
      </c>
      <c r="Q4">
        <v>7786</v>
      </c>
      <c r="R4">
        <v>1990</v>
      </c>
      <c r="S4" s="7">
        <v>0.92200000000000004</v>
      </c>
      <c r="U4">
        <v>1436</v>
      </c>
      <c r="V4" s="8">
        <v>720</v>
      </c>
      <c r="W4" s="7">
        <v>18.5</v>
      </c>
      <c r="X4">
        <v>156</v>
      </c>
      <c r="Y4" s="8">
        <v>600</v>
      </c>
      <c r="AB4" s="7">
        <f t="shared" ref="AB4:AB33" si="0">(A4-E4)/E4</f>
        <v>8.943089430894309E-2</v>
      </c>
      <c r="AC4">
        <f t="shared" ref="AC4:AC33" si="1">(A4-B4)/B4</f>
        <v>0.14529914529914531</v>
      </c>
      <c r="AD4" s="8">
        <f t="shared" ref="AD4:AD33" si="2">(A4-D4)/D4</f>
        <v>0.15517241379310345</v>
      </c>
    </row>
    <row r="5" spans="1:30" x14ac:dyDescent="0.3">
      <c r="A5">
        <v>148</v>
      </c>
      <c r="B5">
        <v>147</v>
      </c>
      <c r="C5">
        <v>0.56200000000000006</v>
      </c>
      <c r="D5">
        <v>119</v>
      </c>
      <c r="E5">
        <v>147</v>
      </c>
      <c r="G5" s="7">
        <v>6.3E-2</v>
      </c>
      <c r="H5">
        <v>76</v>
      </c>
      <c r="I5" s="8">
        <v>125</v>
      </c>
      <c r="J5" s="7">
        <v>1.032</v>
      </c>
      <c r="K5">
        <v>7994</v>
      </c>
      <c r="L5" s="8">
        <v>1710</v>
      </c>
      <c r="M5" s="7">
        <v>0.34299999999999997</v>
      </c>
      <c r="N5">
        <v>3394</v>
      </c>
      <c r="O5" s="8">
        <v>790</v>
      </c>
      <c r="P5">
        <v>0.82799999999999985</v>
      </c>
      <c r="Q5">
        <v>6666</v>
      </c>
      <c r="R5">
        <v>1710</v>
      </c>
      <c r="S5" s="7">
        <v>0.34399999999999997</v>
      </c>
      <c r="U5">
        <v>2066</v>
      </c>
      <c r="V5" s="8">
        <v>790</v>
      </c>
      <c r="W5" s="7">
        <v>16.843999999999994</v>
      </c>
      <c r="X5">
        <v>156</v>
      </c>
      <c r="Y5" s="8">
        <v>600</v>
      </c>
      <c r="AB5" s="7">
        <f t="shared" si="0"/>
        <v>6.8027210884353739E-3</v>
      </c>
      <c r="AC5">
        <f t="shared" si="1"/>
        <v>6.8027210884353739E-3</v>
      </c>
      <c r="AD5" s="8">
        <f t="shared" si="2"/>
        <v>0.24369747899159663</v>
      </c>
    </row>
    <row r="6" spans="1:30" x14ac:dyDescent="0.3">
      <c r="A6">
        <v>121</v>
      </c>
      <c r="B6">
        <v>114</v>
      </c>
      <c r="C6">
        <v>0.56299999999999972</v>
      </c>
      <c r="D6">
        <v>110</v>
      </c>
      <c r="E6">
        <v>118</v>
      </c>
      <c r="G6" s="7">
        <v>3.1999999999999987E-2</v>
      </c>
      <c r="H6">
        <v>76</v>
      </c>
      <c r="I6" s="8">
        <v>125</v>
      </c>
      <c r="J6" s="7">
        <v>0.89000000000000012</v>
      </c>
      <c r="K6">
        <v>8738</v>
      </c>
      <c r="L6" s="8">
        <v>1865</v>
      </c>
      <c r="M6" s="7">
        <v>0.14100000000000001</v>
      </c>
      <c r="N6">
        <v>2688</v>
      </c>
      <c r="O6" s="8">
        <v>655</v>
      </c>
      <c r="P6">
        <v>1</v>
      </c>
      <c r="Q6">
        <v>7286</v>
      </c>
      <c r="R6">
        <v>1865</v>
      </c>
      <c r="S6" s="7">
        <v>9.4000000000000083E-2</v>
      </c>
      <c r="U6">
        <v>1236</v>
      </c>
      <c r="V6" s="8">
        <v>655</v>
      </c>
      <c r="W6" s="7">
        <v>3.8130000000000024</v>
      </c>
      <c r="X6">
        <v>156</v>
      </c>
      <c r="Y6" s="8">
        <v>600</v>
      </c>
      <c r="AB6" s="7">
        <f t="shared" si="0"/>
        <v>2.5423728813559324E-2</v>
      </c>
      <c r="AC6">
        <f t="shared" si="1"/>
        <v>6.1403508771929821E-2</v>
      </c>
      <c r="AD6" s="8">
        <f t="shared" si="2"/>
        <v>0.1</v>
      </c>
    </row>
    <row r="7" spans="1:30" x14ac:dyDescent="0.3">
      <c r="A7">
        <v>125</v>
      </c>
      <c r="B7">
        <v>124</v>
      </c>
      <c r="C7">
        <v>0.53100000000000014</v>
      </c>
      <c r="D7">
        <v>103</v>
      </c>
      <c r="E7">
        <v>124</v>
      </c>
      <c r="G7" s="7">
        <v>4.6000000000000013E-2</v>
      </c>
      <c r="H7">
        <v>76</v>
      </c>
      <c r="I7" s="8">
        <v>125</v>
      </c>
      <c r="J7" s="7">
        <v>1.0319999999999996</v>
      </c>
      <c r="K7">
        <v>8258</v>
      </c>
      <c r="L7" s="8">
        <v>1765</v>
      </c>
      <c r="M7" s="7">
        <v>0.125</v>
      </c>
      <c r="N7">
        <v>2808</v>
      </c>
      <c r="O7" s="8">
        <v>675</v>
      </c>
      <c r="P7">
        <v>1.0310000000000001</v>
      </c>
      <c r="Q7">
        <v>6886</v>
      </c>
      <c r="R7">
        <v>1765</v>
      </c>
      <c r="S7" s="7">
        <v>9.3999999999999861E-2</v>
      </c>
      <c r="U7">
        <v>1436</v>
      </c>
      <c r="V7" s="8">
        <v>675</v>
      </c>
      <c r="W7" s="7">
        <v>7.8130000000000024</v>
      </c>
      <c r="X7">
        <v>156</v>
      </c>
      <c r="Y7" s="8">
        <v>600</v>
      </c>
      <c r="AB7" s="7">
        <f t="shared" si="0"/>
        <v>8.0645161290322578E-3</v>
      </c>
      <c r="AC7">
        <f t="shared" si="1"/>
        <v>8.0645161290322578E-3</v>
      </c>
      <c r="AD7" s="8">
        <f t="shared" si="2"/>
        <v>0.21359223300970873</v>
      </c>
    </row>
    <row r="8" spans="1:30" x14ac:dyDescent="0.3">
      <c r="A8">
        <v>138</v>
      </c>
      <c r="B8">
        <v>120</v>
      </c>
      <c r="C8">
        <v>0.56300000000000017</v>
      </c>
      <c r="D8">
        <v>103</v>
      </c>
      <c r="E8">
        <v>128</v>
      </c>
      <c r="G8" s="7">
        <v>4.6999999999999986E-2</v>
      </c>
      <c r="H8">
        <v>76</v>
      </c>
      <c r="I8" s="8">
        <v>125</v>
      </c>
      <c r="J8" s="7">
        <v>2.5630000000000006</v>
      </c>
      <c r="K8">
        <v>10538</v>
      </c>
      <c r="L8" s="8">
        <v>2240</v>
      </c>
      <c r="M8" s="7">
        <v>0.34299999999999997</v>
      </c>
      <c r="N8">
        <v>3038</v>
      </c>
      <c r="O8" s="8">
        <v>740</v>
      </c>
      <c r="P8">
        <v>2.75</v>
      </c>
      <c r="Q8">
        <v>8786</v>
      </c>
      <c r="R8">
        <v>2240</v>
      </c>
      <c r="S8" s="7">
        <v>0.28200000000000003</v>
      </c>
      <c r="U8">
        <v>1286</v>
      </c>
      <c r="V8" s="8">
        <v>740</v>
      </c>
      <c r="W8" s="7">
        <v>7.671999999999997</v>
      </c>
      <c r="X8">
        <v>156</v>
      </c>
      <c r="Y8" s="8">
        <v>600</v>
      </c>
      <c r="AB8" s="7">
        <f t="shared" si="0"/>
        <v>7.8125E-2</v>
      </c>
      <c r="AC8">
        <f t="shared" si="1"/>
        <v>0.15</v>
      </c>
      <c r="AD8" s="8">
        <f t="shared" si="2"/>
        <v>0.33980582524271846</v>
      </c>
    </row>
    <row r="9" spans="1:30" x14ac:dyDescent="0.3">
      <c r="A9">
        <v>135</v>
      </c>
      <c r="B9">
        <v>110</v>
      </c>
      <c r="C9">
        <v>0.57799999999999985</v>
      </c>
      <c r="D9">
        <v>87</v>
      </c>
      <c r="E9">
        <v>120</v>
      </c>
      <c r="G9" s="7">
        <v>4.6999999999999986E-2</v>
      </c>
      <c r="H9">
        <v>76</v>
      </c>
      <c r="I9" s="8">
        <v>125</v>
      </c>
      <c r="J9" s="7">
        <v>2.3600000000000003</v>
      </c>
      <c r="K9">
        <v>7754</v>
      </c>
      <c r="L9" s="8">
        <v>1660</v>
      </c>
      <c r="M9" s="7">
        <v>1.2349999999999999</v>
      </c>
      <c r="N9">
        <v>3079</v>
      </c>
      <c r="O9" s="8">
        <v>725</v>
      </c>
      <c r="P9">
        <v>3.2189999999999994</v>
      </c>
      <c r="Q9">
        <v>6466</v>
      </c>
      <c r="R9">
        <v>1660</v>
      </c>
      <c r="S9" s="7">
        <v>1.2500000000000002</v>
      </c>
      <c r="U9">
        <v>1791</v>
      </c>
      <c r="V9" s="8">
        <v>725</v>
      </c>
      <c r="W9" s="7">
        <v>34.625</v>
      </c>
      <c r="X9">
        <v>156</v>
      </c>
      <c r="Y9" s="8">
        <v>600</v>
      </c>
      <c r="AB9" s="7">
        <f t="shared" si="0"/>
        <v>0.125</v>
      </c>
      <c r="AC9">
        <f t="shared" si="1"/>
        <v>0.22727272727272727</v>
      </c>
      <c r="AD9" s="8">
        <f t="shared" si="2"/>
        <v>0.55172413793103448</v>
      </c>
    </row>
    <row r="10" spans="1:30" x14ac:dyDescent="0.3">
      <c r="A10">
        <v>141</v>
      </c>
      <c r="B10">
        <v>130</v>
      </c>
      <c r="C10">
        <v>0.63999999999999968</v>
      </c>
      <c r="D10">
        <v>99</v>
      </c>
      <c r="E10">
        <v>141</v>
      </c>
      <c r="G10" s="7">
        <v>4.7000000000000042E-2</v>
      </c>
      <c r="H10">
        <v>76</v>
      </c>
      <c r="I10" s="8">
        <v>125</v>
      </c>
      <c r="J10" s="7">
        <v>3.2969999999999988</v>
      </c>
      <c r="K10">
        <v>10154</v>
      </c>
      <c r="L10" s="8">
        <v>2160</v>
      </c>
      <c r="M10" s="7">
        <v>0.625</v>
      </c>
      <c r="N10">
        <v>3129</v>
      </c>
      <c r="O10" s="8">
        <v>755</v>
      </c>
      <c r="P10">
        <v>5.1719999999999988</v>
      </c>
      <c r="Q10">
        <v>8466</v>
      </c>
      <c r="R10">
        <v>2160</v>
      </c>
      <c r="S10" s="7">
        <v>0.59399999999999986</v>
      </c>
      <c r="U10">
        <v>1441</v>
      </c>
      <c r="V10" s="8">
        <v>755</v>
      </c>
      <c r="W10" s="7">
        <v>5.7810000000000059</v>
      </c>
      <c r="X10">
        <v>156</v>
      </c>
      <c r="Y10" s="8">
        <v>600</v>
      </c>
      <c r="AB10" s="7">
        <f t="shared" si="0"/>
        <v>0</v>
      </c>
      <c r="AC10">
        <f t="shared" si="1"/>
        <v>8.461538461538462E-2</v>
      </c>
      <c r="AD10" s="8">
        <f t="shared" si="2"/>
        <v>0.42424242424242425</v>
      </c>
    </row>
    <row r="11" spans="1:30" x14ac:dyDescent="0.3">
      <c r="A11">
        <v>115</v>
      </c>
      <c r="B11">
        <v>105</v>
      </c>
      <c r="C11">
        <v>0.59400000000000031</v>
      </c>
      <c r="D11">
        <v>88</v>
      </c>
      <c r="E11">
        <v>105</v>
      </c>
      <c r="G11" s="7">
        <v>4.6999999999999986E-2</v>
      </c>
      <c r="H11">
        <v>76</v>
      </c>
      <c r="I11" s="8">
        <v>125</v>
      </c>
      <c r="J11" s="7">
        <v>0.96900000000000119</v>
      </c>
      <c r="K11">
        <v>7490</v>
      </c>
      <c r="L11" s="8">
        <v>1605</v>
      </c>
      <c r="M11" s="7">
        <v>0.31199999999999983</v>
      </c>
      <c r="N11">
        <v>2590</v>
      </c>
      <c r="O11" s="8">
        <v>625</v>
      </c>
      <c r="P11">
        <v>1.0150000000000006</v>
      </c>
      <c r="Q11">
        <v>6246</v>
      </c>
      <c r="R11">
        <v>1605</v>
      </c>
      <c r="S11" s="7">
        <v>0.26600000000000001</v>
      </c>
      <c r="U11">
        <v>1346</v>
      </c>
      <c r="V11" s="8">
        <v>625</v>
      </c>
      <c r="W11" s="7">
        <v>5.203000000000003</v>
      </c>
      <c r="X11">
        <v>156</v>
      </c>
      <c r="Y11" s="8">
        <v>600</v>
      </c>
      <c r="AB11" s="7">
        <f t="shared" si="0"/>
        <v>9.5238095238095233E-2</v>
      </c>
      <c r="AC11">
        <f t="shared" si="1"/>
        <v>9.5238095238095233E-2</v>
      </c>
      <c r="AD11" s="8">
        <f t="shared" si="2"/>
        <v>0.30681818181818182</v>
      </c>
    </row>
    <row r="12" spans="1:30" x14ac:dyDescent="0.3">
      <c r="A12">
        <v>134</v>
      </c>
      <c r="B12">
        <v>123</v>
      </c>
      <c r="C12">
        <v>0.60899999999999999</v>
      </c>
      <c r="D12">
        <v>108</v>
      </c>
      <c r="E12">
        <v>134</v>
      </c>
      <c r="G12" s="7">
        <v>3.0999999999999972E-2</v>
      </c>
      <c r="H12">
        <v>76</v>
      </c>
      <c r="I12" s="8">
        <v>125</v>
      </c>
      <c r="J12" s="7">
        <v>1.5779999999999994</v>
      </c>
      <c r="K12">
        <v>9098</v>
      </c>
      <c r="L12" s="8">
        <v>1940</v>
      </c>
      <c r="M12" s="7">
        <v>0.26600000000000001</v>
      </c>
      <c r="N12">
        <v>2998</v>
      </c>
      <c r="O12" s="8">
        <v>720</v>
      </c>
      <c r="P12">
        <v>2.125</v>
      </c>
      <c r="Q12">
        <v>7586</v>
      </c>
      <c r="R12">
        <v>1940</v>
      </c>
      <c r="S12" s="7">
        <v>0.21799999999999997</v>
      </c>
      <c r="U12">
        <v>1486</v>
      </c>
      <c r="V12" s="8">
        <v>720</v>
      </c>
      <c r="W12" s="7">
        <v>6.078000000000003</v>
      </c>
      <c r="X12">
        <v>156</v>
      </c>
      <c r="Y12" s="8">
        <v>600</v>
      </c>
      <c r="AB12" s="7">
        <f t="shared" si="0"/>
        <v>0</v>
      </c>
      <c r="AC12">
        <f t="shared" si="1"/>
        <v>8.943089430894309E-2</v>
      </c>
      <c r="AD12" s="8">
        <f t="shared" si="2"/>
        <v>0.24074074074074073</v>
      </c>
    </row>
    <row r="13" spans="1:30" x14ac:dyDescent="0.3">
      <c r="A13">
        <v>121</v>
      </c>
      <c r="B13">
        <v>121</v>
      </c>
      <c r="C13">
        <v>0.56299999999999972</v>
      </c>
      <c r="D13">
        <v>111</v>
      </c>
      <c r="E13">
        <v>121</v>
      </c>
      <c r="G13" s="7">
        <v>4.7000000000000042E-2</v>
      </c>
      <c r="H13">
        <v>76</v>
      </c>
      <c r="I13" s="8">
        <v>125</v>
      </c>
      <c r="J13" s="7">
        <v>1.5779999999999994</v>
      </c>
      <c r="K13">
        <v>9434</v>
      </c>
      <c r="L13" s="8">
        <v>2010</v>
      </c>
      <c r="M13" s="7">
        <v>0.14000000000000057</v>
      </c>
      <c r="N13">
        <v>2659</v>
      </c>
      <c r="O13" s="8">
        <v>655</v>
      </c>
      <c r="P13">
        <v>1.1560000000000024</v>
      </c>
      <c r="Q13">
        <v>7866</v>
      </c>
      <c r="R13">
        <v>2010</v>
      </c>
      <c r="S13" s="7">
        <v>9.4000000000000306E-2</v>
      </c>
      <c r="U13">
        <v>1091</v>
      </c>
      <c r="V13" s="8">
        <v>655</v>
      </c>
      <c r="W13" s="7">
        <v>2.703000000000003</v>
      </c>
      <c r="X13">
        <v>156</v>
      </c>
      <c r="Y13" s="8">
        <v>600</v>
      </c>
      <c r="AB13" s="7">
        <f t="shared" si="0"/>
        <v>0</v>
      </c>
      <c r="AC13">
        <f t="shared" si="1"/>
        <v>0</v>
      </c>
      <c r="AD13" s="8">
        <f t="shared" si="2"/>
        <v>9.0090090090090086E-2</v>
      </c>
    </row>
    <row r="14" spans="1:30" x14ac:dyDescent="0.3">
      <c r="A14">
        <v>138</v>
      </c>
      <c r="B14">
        <v>128</v>
      </c>
      <c r="C14">
        <v>0.56200000000000028</v>
      </c>
      <c r="D14">
        <v>113</v>
      </c>
      <c r="E14">
        <v>135</v>
      </c>
      <c r="G14" s="7">
        <v>3.0999999999999972E-2</v>
      </c>
      <c r="H14">
        <v>76</v>
      </c>
      <c r="I14" s="8">
        <v>125</v>
      </c>
      <c r="J14" s="7">
        <v>1.6410000000000018</v>
      </c>
      <c r="K14">
        <v>10250</v>
      </c>
      <c r="L14" s="8">
        <v>2180</v>
      </c>
      <c r="M14" s="7">
        <v>0.34399999999999942</v>
      </c>
      <c r="N14">
        <v>3050</v>
      </c>
      <c r="O14" s="8">
        <v>740</v>
      </c>
      <c r="P14">
        <v>1.7659999999999982</v>
      </c>
      <c r="Q14">
        <v>8546</v>
      </c>
      <c r="R14">
        <v>2180</v>
      </c>
      <c r="S14" s="7">
        <v>0.42199999999999971</v>
      </c>
      <c r="U14">
        <v>1346</v>
      </c>
      <c r="V14" s="8">
        <v>740</v>
      </c>
      <c r="W14" s="7">
        <v>4.8589999999999804</v>
      </c>
      <c r="X14">
        <v>156</v>
      </c>
      <c r="Y14" s="8">
        <v>600</v>
      </c>
      <c r="AB14" s="7">
        <f t="shared" si="0"/>
        <v>2.2222222222222223E-2</v>
      </c>
      <c r="AC14">
        <f t="shared" si="1"/>
        <v>7.8125E-2</v>
      </c>
      <c r="AD14" s="8">
        <f t="shared" si="2"/>
        <v>0.22123893805309736</v>
      </c>
    </row>
    <row r="15" spans="1:30" x14ac:dyDescent="0.3">
      <c r="A15">
        <v>112</v>
      </c>
      <c r="B15">
        <v>106</v>
      </c>
      <c r="C15">
        <v>0.6720000000000006</v>
      </c>
      <c r="D15">
        <v>94</v>
      </c>
      <c r="E15">
        <v>112</v>
      </c>
      <c r="G15" s="7">
        <v>4.7000000000000042E-2</v>
      </c>
      <c r="H15">
        <v>76</v>
      </c>
      <c r="I15" s="8">
        <v>125</v>
      </c>
      <c r="J15" s="7">
        <v>1.3279999999999994</v>
      </c>
      <c r="K15">
        <v>8882</v>
      </c>
      <c r="L15" s="8">
        <v>1895</v>
      </c>
      <c r="M15" s="7">
        <v>9.4000000000000306E-2</v>
      </c>
      <c r="N15">
        <v>2457</v>
      </c>
      <c r="O15" s="8">
        <v>610</v>
      </c>
      <c r="P15">
        <v>1.5</v>
      </c>
      <c r="Q15">
        <v>7406</v>
      </c>
      <c r="R15">
        <v>1895</v>
      </c>
      <c r="S15" s="7">
        <v>6.2999999999999723E-2</v>
      </c>
      <c r="U15">
        <v>981</v>
      </c>
      <c r="V15" s="8">
        <v>610</v>
      </c>
      <c r="W15" s="7">
        <v>4.6880000000000166</v>
      </c>
      <c r="X15">
        <v>156</v>
      </c>
      <c r="Y15" s="8">
        <v>600</v>
      </c>
      <c r="AB15" s="7">
        <f t="shared" si="0"/>
        <v>0</v>
      </c>
      <c r="AC15">
        <f t="shared" si="1"/>
        <v>5.6603773584905662E-2</v>
      </c>
      <c r="AD15" s="8">
        <f t="shared" si="2"/>
        <v>0.19148936170212766</v>
      </c>
    </row>
    <row r="16" spans="1:30" x14ac:dyDescent="0.3">
      <c r="A16">
        <v>124</v>
      </c>
      <c r="B16">
        <v>116</v>
      </c>
      <c r="C16">
        <v>0.5779999999999994</v>
      </c>
      <c r="D16">
        <v>91</v>
      </c>
      <c r="E16">
        <v>119</v>
      </c>
      <c r="G16" s="7">
        <v>3.0999999999999917E-2</v>
      </c>
      <c r="H16">
        <v>76</v>
      </c>
      <c r="I16" s="8">
        <v>125</v>
      </c>
      <c r="J16" s="7">
        <v>1.875</v>
      </c>
      <c r="K16">
        <v>8210</v>
      </c>
      <c r="L16" s="8">
        <v>1755</v>
      </c>
      <c r="M16" s="7">
        <v>0.45300000000000029</v>
      </c>
      <c r="N16">
        <v>2785</v>
      </c>
      <c r="O16" s="8">
        <v>670</v>
      </c>
      <c r="P16">
        <v>1.6410000000000018</v>
      </c>
      <c r="Q16">
        <v>6846</v>
      </c>
      <c r="R16">
        <v>1755</v>
      </c>
      <c r="S16" s="7">
        <v>0.40600000000000058</v>
      </c>
      <c r="U16">
        <v>1421</v>
      </c>
      <c r="V16" s="8">
        <v>670</v>
      </c>
      <c r="W16" s="7">
        <v>6.0629999999999882</v>
      </c>
      <c r="X16">
        <v>156</v>
      </c>
      <c r="Y16" s="8">
        <v>600</v>
      </c>
      <c r="AB16" s="7">
        <f t="shared" si="0"/>
        <v>4.2016806722689079E-2</v>
      </c>
      <c r="AC16">
        <f t="shared" si="1"/>
        <v>6.8965517241379309E-2</v>
      </c>
      <c r="AD16" s="8">
        <f t="shared" si="2"/>
        <v>0.36263736263736263</v>
      </c>
    </row>
    <row r="17" spans="1:30" x14ac:dyDescent="0.3">
      <c r="A17">
        <v>123</v>
      </c>
      <c r="B17">
        <v>118</v>
      </c>
      <c r="C17">
        <v>0.60999999999999943</v>
      </c>
      <c r="D17">
        <v>99</v>
      </c>
      <c r="E17">
        <v>121</v>
      </c>
      <c r="G17" s="7">
        <v>3.2000000000000028E-2</v>
      </c>
      <c r="H17">
        <v>76</v>
      </c>
      <c r="I17" s="8">
        <v>125</v>
      </c>
      <c r="J17" s="7">
        <v>1.7189999999999976</v>
      </c>
      <c r="K17">
        <v>9530</v>
      </c>
      <c r="L17" s="8">
        <v>2030</v>
      </c>
      <c r="M17" s="7">
        <v>0.21899999999999942</v>
      </c>
      <c r="N17">
        <v>2705</v>
      </c>
      <c r="O17" s="8">
        <v>665</v>
      </c>
      <c r="P17">
        <v>0.90599999999999881</v>
      </c>
      <c r="Q17">
        <v>7946</v>
      </c>
      <c r="R17">
        <v>2030</v>
      </c>
      <c r="S17" s="7">
        <v>0.15599999999999969</v>
      </c>
      <c r="U17">
        <v>1121</v>
      </c>
      <c r="V17" s="8">
        <v>665</v>
      </c>
      <c r="W17" s="7">
        <v>7.7650000000000148</v>
      </c>
      <c r="X17">
        <v>156</v>
      </c>
      <c r="Y17" s="8">
        <v>600</v>
      </c>
      <c r="AB17" s="7">
        <f t="shared" si="0"/>
        <v>1.6528925619834711E-2</v>
      </c>
      <c r="AC17">
        <f t="shared" si="1"/>
        <v>4.2372881355932202E-2</v>
      </c>
      <c r="AD17" s="8">
        <f t="shared" si="2"/>
        <v>0.24242424242424243</v>
      </c>
    </row>
    <row r="18" spans="1:30" x14ac:dyDescent="0.3">
      <c r="A18">
        <v>143</v>
      </c>
      <c r="B18">
        <v>122</v>
      </c>
      <c r="C18">
        <v>0.68700000000000117</v>
      </c>
      <c r="D18">
        <v>111</v>
      </c>
      <c r="E18">
        <v>137</v>
      </c>
      <c r="G18" s="7">
        <v>3.1000000000000028E-2</v>
      </c>
      <c r="H18">
        <v>76</v>
      </c>
      <c r="I18" s="8">
        <v>125</v>
      </c>
      <c r="J18" s="7">
        <v>2.110000000000003</v>
      </c>
      <c r="K18">
        <v>9050</v>
      </c>
      <c r="L18" s="8">
        <v>1930</v>
      </c>
      <c r="M18" s="7">
        <v>0.53100000000000058</v>
      </c>
      <c r="N18">
        <v>3225</v>
      </c>
      <c r="O18" s="8">
        <v>765</v>
      </c>
      <c r="P18">
        <v>2.6870000000000012</v>
      </c>
      <c r="Q18">
        <v>7546</v>
      </c>
      <c r="R18">
        <v>1930</v>
      </c>
      <c r="S18" s="7">
        <v>0.625</v>
      </c>
      <c r="U18">
        <v>1721</v>
      </c>
      <c r="V18" s="8">
        <v>765</v>
      </c>
      <c r="W18" s="7">
        <v>13.421999999999997</v>
      </c>
      <c r="X18">
        <v>156</v>
      </c>
      <c r="Y18" s="8">
        <v>600</v>
      </c>
      <c r="AB18" s="7">
        <f t="shared" si="0"/>
        <v>4.3795620437956206E-2</v>
      </c>
      <c r="AC18">
        <f t="shared" si="1"/>
        <v>0.1721311475409836</v>
      </c>
      <c r="AD18" s="8">
        <f t="shared" si="2"/>
        <v>0.28828828828828829</v>
      </c>
    </row>
    <row r="19" spans="1:30" x14ac:dyDescent="0.3">
      <c r="A19">
        <v>159</v>
      </c>
      <c r="B19">
        <v>132</v>
      </c>
      <c r="C19">
        <v>0.59399999999999942</v>
      </c>
      <c r="D19">
        <v>108</v>
      </c>
      <c r="E19">
        <v>140</v>
      </c>
      <c r="G19" s="7">
        <v>4.7000000000000042E-2</v>
      </c>
      <c r="H19">
        <v>76</v>
      </c>
      <c r="I19" s="8">
        <v>125</v>
      </c>
      <c r="J19" s="7">
        <v>5.4529999999999994</v>
      </c>
      <c r="K19">
        <v>10850</v>
      </c>
      <c r="L19" s="8">
        <v>2305</v>
      </c>
      <c r="M19" s="7">
        <v>1.125</v>
      </c>
      <c r="N19">
        <v>3550</v>
      </c>
      <c r="O19" s="8">
        <v>845</v>
      </c>
      <c r="P19">
        <v>3.9220000000000006</v>
      </c>
      <c r="Q19">
        <v>9046</v>
      </c>
      <c r="R19">
        <v>2305</v>
      </c>
      <c r="S19" s="7">
        <v>0.95300000000000029</v>
      </c>
      <c r="U19">
        <v>1746</v>
      </c>
      <c r="V19" s="8">
        <v>845</v>
      </c>
      <c r="W19" s="7">
        <v>9.671999999999997</v>
      </c>
      <c r="X19">
        <v>156</v>
      </c>
      <c r="Y19" s="8">
        <v>600</v>
      </c>
      <c r="AB19" s="7">
        <f t="shared" si="0"/>
        <v>0.1357142857142857</v>
      </c>
      <c r="AC19">
        <f t="shared" si="1"/>
        <v>0.20454545454545456</v>
      </c>
      <c r="AD19" s="8">
        <f t="shared" si="2"/>
        <v>0.47222222222222221</v>
      </c>
    </row>
    <row r="20" spans="1:30" x14ac:dyDescent="0.3">
      <c r="A20">
        <v>109</v>
      </c>
      <c r="B20">
        <v>91</v>
      </c>
      <c r="C20">
        <v>0.625</v>
      </c>
      <c r="D20">
        <v>77</v>
      </c>
      <c r="E20">
        <v>94</v>
      </c>
      <c r="G20" s="7">
        <v>3.1999999999999917E-2</v>
      </c>
      <c r="H20">
        <v>76</v>
      </c>
      <c r="I20" s="8">
        <v>125</v>
      </c>
      <c r="J20" s="7">
        <v>1.3590000000000018</v>
      </c>
      <c r="K20">
        <v>7394</v>
      </c>
      <c r="L20" s="8">
        <v>1585</v>
      </c>
      <c r="M20" s="7">
        <v>0.31199999999999939</v>
      </c>
      <c r="N20">
        <v>2444</v>
      </c>
      <c r="O20" s="8">
        <v>595</v>
      </c>
      <c r="P20">
        <v>1.1409999999999982</v>
      </c>
      <c r="Q20">
        <v>6166</v>
      </c>
      <c r="R20">
        <v>1585</v>
      </c>
      <c r="S20" s="7">
        <v>0.35999999999999943</v>
      </c>
      <c r="U20">
        <v>1216</v>
      </c>
      <c r="V20" s="8">
        <v>595</v>
      </c>
      <c r="W20" s="7">
        <v>6.9840000000000089</v>
      </c>
      <c r="X20">
        <v>156</v>
      </c>
      <c r="Y20" s="8">
        <v>600</v>
      </c>
      <c r="AB20" s="7">
        <f t="shared" si="0"/>
        <v>0.15957446808510639</v>
      </c>
      <c r="AC20">
        <f t="shared" si="1"/>
        <v>0.19780219780219779</v>
      </c>
      <c r="AD20" s="8">
        <f t="shared" si="2"/>
        <v>0.41558441558441561</v>
      </c>
    </row>
    <row r="21" spans="1:30" x14ac:dyDescent="0.3">
      <c r="A21">
        <v>97</v>
      </c>
      <c r="B21">
        <v>84</v>
      </c>
      <c r="C21">
        <v>0.6720000000000006</v>
      </c>
      <c r="D21">
        <v>78</v>
      </c>
      <c r="E21">
        <v>87</v>
      </c>
      <c r="G21" s="7">
        <v>3.2000000000000028E-2</v>
      </c>
      <c r="H21">
        <v>76</v>
      </c>
      <c r="I21" s="8">
        <v>125</v>
      </c>
      <c r="J21" s="7">
        <v>1.0159999999999982</v>
      </c>
      <c r="K21">
        <v>7418</v>
      </c>
      <c r="L21" s="8">
        <v>1590</v>
      </c>
      <c r="M21" s="7">
        <v>0.23399999999999999</v>
      </c>
      <c r="N21">
        <v>2143</v>
      </c>
      <c r="O21" s="8">
        <v>535</v>
      </c>
      <c r="P21">
        <v>1.3290000000000006</v>
      </c>
      <c r="Q21">
        <v>6186</v>
      </c>
      <c r="R21">
        <v>1590</v>
      </c>
      <c r="S21" s="7">
        <v>0.2970000000000006</v>
      </c>
      <c r="U21">
        <v>911</v>
      </c>
      <c r="V21" s="8">
        <v>535</v>
      </c>
      <c r="W21" s="7">
        <v>3.375</v>
      </c>
      <c r="X21">
        <v>156</v>
      </c>
      <c r="Y21" s="8">
        <v>600</v>
      </c>
      <c r="AB21" s="7">
        <f t="shared" si="0"/>
        <v>0.11494252873563218</v>
      </c>
      <c r="AC21">
        <f t="shared" si="1"/>
        <v>0.15476190476190477</v>
      </c>
      <c r="AD21" s="8">
        <f t="shared" si="2"/>
        <v>0.24358974358974358</v>
      </c>
    </row>
    <row r="22" spans="1:30" x14ac:dyDescent="0.3">
      <c r="A22">
        <v>142</v>
      </c>
      <c r="B22">
        <v>134</v>
      </c>
      <c r="C22">
        <v>0.59399999999999942</v>
      </c>
      <c r="D22">
        <v>112</v>
      </c>
      <c r="E22">
        <v>134</v>
      </c>
      <c r="G22" s="7">
        <v>4.7000000000000042E-2</v>
      </c>
      <c r="H22">
        <v>76</v>
      </c>
      <c r="I22" s="8">
        <v>125</v>
      </c>
      <c r="J22" s="7">
        <v>3.0630000000000024</v>
      </c>
      <c r="K22">
        <v>9434</v>
      </c>
      <c r="L22" s="8">
        <v>2010</v>
      </c>
      <c r="M22" s="7">
        <v>0.68700000000000028</v>
      </c>
      <c r="N22">
        <v>3184</v>
      </c>
      <c r="O22" s="8">
        <v>760</v>
      </c>
      <c r="P22">
        <v>3.9059999999999988</v>
      </c>
      <c r="Q22">
        <v>7866</v>
      </c>
      <c r="R22">
        <v>2010</v>
      </c>
      <c r="S22" s="7">
        <v>0.51600000000000001</v>
      </c>
      <c r="U22">
        <v>1616</v>
      </c>
      <c r="V22" s="8">
        <v>760</v>
      </c>
      <c r="W22" s="7">
        <v>7.4839999999999804</v>
      </c>
      <c r="X22">
        <v>156</v>
      </c>
      <c r="Y22" s="8">
        <v>600</v>
      </c>
      <c r="AB22" s="7">
        <f t="shared" si="0"/>
        <v>5.9701492537313432E-2</v>
      </c>
      <c r="AC22">
        <f t="shared" si="1"/>
        <v>5.9701492537313432E-2</v>
      </c>
      <c r="AD22" s="8">
        <f t="shared" si="2"/>
        <v>0.26785714285714285</v>
      </c>
    </row>
    <row r="23" spans="1:30" x14ac:dyDescent="0.3">
      <c r="A23">
        <v>182</v>
      </c>
      <c r="B23">
        <v>127</v>
      </c>
      <c r="C23">
        <v>0.60899999999999999</v>
      </c>
      <c r="D23">
        <v>121</v>
      </c>
      <c r="E23">
        <v>146</v>
      </c>
      <c r="G23" s="7">
        <v>4.6999999999999931E-2</v>
      </c>
      <c r="H23">
        <v>76</v>
      </c>
      <c r="I23" s="8">
        <v>125</v>
      </c>
      <c r="J23" s="7">
        <v>3.8119999999999976</v>
      </c>
      <c r="K23">
        <v>9746</v>
      </c>
      <c r="L23" s="8">
        <v>2075</v>
      </c>
      <c r="M23" s="7">
        <v>1.875</v>
      </c>
      <c r="N23">
        <v>4171</v>
      </c>
      <c r="O23" s="8">
        <v>960</v>
      </c>
      <c r="P23">
        <v>6.1090000000000018</v>
      </c>
      <c r="Q23">
        <v>8126</v>
      </c>
      <c r="R23">
        <v>2075</v>
      </c>
      <c r="S23" s="7">
        <v>1.3129999999999997</v>
      </c>
      <c r="U23">
        <v>2551</v>
      </c>
      <c r="V23" s="8">
        <v>960</v>
      </c>
      <c r="W23" s="7">
        <v>8.9380000000000166</v>
      </c>
      <c r="X23">
        <v>156</v>
      </c>
      <c r="Y23" s="8">
        <v>600</v>
      </c>
      <c r="AB23" s="7">
        <f t="shared" si="0"/>
        <v>0.24657534246575341</v>
      </c>
      <c r="AC23">
        <f t="shared" si="1"/>
        <v>0.43307086614173229</v>
      </c>
      <c r="AD23" s="8">
        <f t="shared" si="2"/>
        <v>0.50413223140495866</v>
      </c>
    </row>
    <row r="24" spans="1:30" x14ac:dyDescent="0.3">
      <c r="A24">
        <v>150</v>
      </c>
      <c r="B24">
        <v>135</v>
      </c>
      <c r="C24">
        <v>0.625</v>
      </c>
      <c r="D24">
        <v>112</v>
      </c>
      <c r="E24">
        <v>144</v>
      </c>
      <c r="G24" s="7">
        <v>4.6000000000000041E-2</v>
      </c>
      <c r="H24">
        <v>76</v>
      </c>
      <c r="I24" s="8">
        <v>125</v>
      </c>
      <c r="J24" s="7">
        <v>3.3440000000000012</v>
      </c>
      <c r="K24">
        <v>10346</v>
      </c>
      <c r="L24" s="8">
        <v>2200</v>
      </c>
      <c r="M24" s="7">
        <v>0.45400000000000063</v>
      </c>
      <c r="N24">
        <v>3346</v>
      </c>
      <c r="O24" s="8">
        <v>800</v>
      </c>
      <c r="P24">
        <v>2.1709999999999994</v>
      </c>
      <c r="Q24">
        <v>8626</v>
      </c>
      <c r="R24">
        <v>2200</v>
      </c>
      <c r="S24" s="7">
        <v>0.4529999999999994</v>
      </c>
      <c r="U24">
        <v>1626</v>
      </c>
      <c r="V24" s="8">
        <v>800</v>
      </c>
      <c r="W24" s="7">
        <v>19.530999999999977</v>
      </c>
      <c r="X24">
        <v>156</v>
      </c>
      <c r="Y24" s="8">
        <v>600</v>
      </c>
      <c r="AB24" s="7">
        <f t="shared" si="0"/>
        <v>4.1666666666666664E-2</v>
      </c>
      <c r="AC24">
        <f t="shared" si="1"/>
        <v>0.1111111111111111</v>
      </c>
      <c r="AD24" s="8">
        <f t="shared" si="2"/>
        <v>0.3392857142857143</v>
      </c>
    </row>
    <row r="25" spans="1:30" x14ac:dyDescent="0.3">
      <c r="A25">
        <v>153</v>
      </c>
      <c r="B25">
        <v>125</v>
      </c>
      <c r="C25">
        <v>0.625</v>
      </c>
      <c r="D25">
        <v>107</v>
      </c>
      <c r="E25">
        <v>135</v>
      </c>
      <c r="G25" s="7">
        <v>3.1000000000000028E-2</v>
      </c>
      <c r="H25">
        <v>76</v>
      </c>
      <c r="I25" s="8">
        <v>125</v>
      </c>
      <c r="J25" s="7">
        <v>4.9839999999999947</v>
      </c>
      <c r="K25">
        <v>9890</v>
      </c>
      <c r="L25" s="8">
        <v>2105</v>
      </c>
      <c r="M25" s="7">
        <v>1.4529999999999994</v>
      </c>
      <c r="N25">
        <v>3440</v>
      </c>
      <c r="O25" s="8">
        <v>815</v>
      </c>
      <c r="P25">
        <v>4.1409999999999982</v>
      </c>
      <c r="Q25">
        <v>8246</v>
      </c>
      <c r="R25">
        <v>2105</v>
      </c>
      <c r="S25" s="7">
        <v>1.4370000000000012</v>
      </c>
      <c r="U25">
        <v>1796</v>
      </c>
      <c r="V25" s="8">
        <v>815</v>
      </c>
      <c r="W25" s="7">
        <v>6.1879999999999882</v>
      </c>
      <c r="X25">
        <v>156</v>
      </c>
      <c r="Y25" s="8">
        <v>600</v>
      </c>
      <c r="AB25" s="7">
        <f t="shared" si="0"/>
        <v>0.13333333333333333</v>
      </c>
      <c r="AC25">
        <f t="shared" si="1"/>
        <v>0.224</v>
      </c>
      <c r="AD25" s="8">
        <f t="shared" si="2"/>
        <v>0.42990654205607476</v>
      </c>
    </row>
    <row r="26" spans="1:30" x14ac:dyDescent="0.3">
      <c r="A26">
        <v>156</v>
      </c>
      <c r="B26">
        <v>118</v>
      </c>
      <c r="C26">
        <v>0.5779999999999994</v>
      </c>
      <c r="D26">
        <v>99</v>
      </c>
      <c r="E26">
        <v>122</v>
      </c>
      <c r="G26" s="7">
        <v>4.6999999999999931E-2</v>
      </c>
      <c r="H26">
        <v>76</v>
      </c>
      <c r="I26" s="8">
        <v>125</v>
      </c>
      <c r="J26" s="7">
        <v>4.2180000000000035</v>
      </c>
      <c r="K26">
        <v>8378</v>
      </c>
      <c r="L26" s="8">
        <v>1790</v>
      </c>
      <c r="M26" s="7">
        <v>1.0470000000000006</v>
      </c>
      <c r="N26">
        <v>3578</v>
      </c>
      <c r="O26" s="8">
        <v>830</v>
      </c>
      <c r="P26">
        <v>2.453000000000003</v>
      </c>
      <c r="Q26">
        <v>6986</v>
      </c>
      <c r="R26">
        <v>1790</v>
      </c>
      <c r="S26" s="7">
        <v>1.0619999999999994</v>
      </c>
      <c r="U26">
        <v>2186</v>
      </c>
      <c r="V26" s="8">
        <v>830</v>
      </c>
      <c r="W26" s="7">
        <v>13.390000000000043</v>
      </c>
      <c r="X26">
        <v>156</v>
      </c>
      <c r="Y26" s="8">
        <v>600</v>
      </c>
      <c r="AB26" s="7">
        <f t="shared" si="0"/>
        <v>0.27868852459016391</v>
      </c>
      <c r="AC26">
        <f t="shared" si="1"/>
        <v>0.32203389830508472</v>
      </c>
      <c r="AD26" s="8">
        <f t="shared" si="2"/>
        <v>0.5757575757575758</v>
      </c>
    </row>
    <row r="27" spans="1:30" x14ac:dyDescent="0.3">
      <c r="A27">
        <v>131</v>
      </c>
      <c r="B27">
        <v>125</v>
      </c>
      <c r="C27">
        <v>0.6720000000000006</v>
      </c>
      <c r="D27">
        <v>97</v>
      </c>
      <c r="E27">
        <v>126</v>
      </c>
      <c r="G27" s="7">
        <v>3.1000000000000028E-2</v>
      </c>
      <c r="H27">
        <v>76</v>
      </c>
      <c r="I27" s="8">
        <v>125</v>
      </c>
      <c r="J27" s="7">
        <v>2.8429999999999964</v>
      </c>
      <c r="K27">
        <v>9386</v>
      </c>
      <c r="L27" s="8">
        <v>2000</v>
      </c>
      <c r="M27" s="7">
        <v>0.25</v>
      </c>
      <c r="N27">
        <v>2911</v>
      </c>
      <c r="O27" s="8">
        <v>705</v>
      </c>
      <c r="P27">
        <v>1.7819999999999965</v>
      </c>
      <c r="Q27">
        <v>7826</v>
      </c>
      <c r="R27">
        <v>2000</v>
      </c>
      <c r="S27" s="7">
        <v>0.2029999999999994</v>
      </c>
      <c r="U27">
        <v>1351</v>
      </c>
      <c r="V27" s="8">
        <v>705</v>
      </c>
      <c r="W27" s="7">
        <v>13.796999999999969</v>
      </c>
      <c r="X27">
        <v>156</v>
      </c>
      <c r="Y27" s="8">
        <v>600</v>
      </c>
      <c r="AB27" s="7">
        <f t="shared" si="0"/>
        <v>3.968253968253968E-2</v>
      </c>
      <c r="AC27">
        <f t="shared" si="1"/>
        <v>4.8000000000000001E-2</v>
      </c>
      <c r="AD27" s="8">
        <f t="shared" si="2"/>
        <v>0.35051546391752575</v>
      </c>
    </row>
    <row r="28" spans="1:30" x14ac:dyDescent="0.3">
      <c r="A28">
        <v>131</v>
      </c>
      <c r="B28">
        <v>110</v>
      </c>
      <c r="C28">
        <v>0.56299999999999883</v>
      </c>
      <c r="D28">
        <v>86</v>
      </c>
      <c r="E28">
        <v>114</v>
      </c>
      <c r="G28" s="7">
        <v>3.0999999999999917E-2</v>
      </c>
      <c r="H28">
        <v>76</v>
      </c>
      <c r="I28" s="8">
        <v>125</v>
      </c>
      <c r="J28" s="7">
        <v>2.203000000000003</v>
      </c>
      <c r="K28">
        <v>8402</v>
      </c>
      <c r="L28" s="8">
        <v>1795</v>
      </c>
      <c r="M28" s="7">
        <v>0.26499999999999879</v>
      </c>
      <c r="N28">
        <v>2952</v>
      </c>
      <c r="O28" s="8">
        <v>705</v>
      </c>
      <c r="P28">
        <v>1.1870000000000047</v>
      </c>
      <c r="Q28">
        <v>7006</v>
      </c>
      <c r="R28">
        <v>1795</v>
      </c>
      <c r="S28" s="7">
        <v>0.25</v>
      </c>
      <c r="U28">
        <v>1556</v>
      </c>
      <c r="V28" s="8">
        <v>705</v>
      </c>
      <c r="W28" s="7">
        <v>20.297000000000025</v>
      </c>
      <c r="X28">
        <v>156</v>
      </c>
      <c r="Y28" s="8">
        <v>600</v>
      </c>
      <c r="AB28" s="7">
        <f t="shared" si="0"/>
        <v>0.14912280701754385</v>
      </c>
      <c r="AC28">
        <f t="shared" si="1"/>
        <v>0.19090909090909092</v>
      </c>
      <c r="AD28" s="8">
        <f t="shared" si="2"/>
        <v>0.52325581395348841</v>
      </c>
    </row>
    <row r="29" spans="1:30" x14ac:dyDescent="0.3">
      <c r="A29">
        <v>124</v>
      </c>
      <c r="B29">
        <v>117</v>
      </c>
      <c r="C29">
        <v>0.71799999999999997</v>
      </c>
      <c r="D29">
        <v>104</v>
      </c>
      <c r="E29">
        <v>118</v>
      </c>
      <c r="G29" s="7">
        <v>3.1000000000000139E-2</v>
      </c>
      <c r="H29">
        <v>76</v>
      </c>
      <c r="I29" s="8">
        <v>125</v>
      </c>
      <c r="J29" s="7">
        <v>1.4209999999999994</v>
      </c>
      <c r="K29">
        <v>8810</v>
      </c>
      <c r="L29" s="8">
        <v>1880</v>
      </c>
      <c r="M29" s="7">
        <v>0.18700000000000117</v>
      </c>
      <c r="N29">
        <v>2760</v>
      </c>
      <c r="O29" s="8">
        <v>670</v>
      </c>
      <c r="P29">
        <v>2.375</v>
      </c>
      <c r="Q29">
        <v>7346</v>
      </c>
      <c r="R29">
        <v>1880</v>
      </c>
      <c r="S29" s="7">
        <v>0.14100000000000001</v>
      </c>
      <c r="U29">
        <v>1296</v>
      </c>
      <c r="V29" s="8">
        <v>670</v>
      </c>
      <c r="W29" s="7">
        <v>5.6100000000000136</v>
      </c>
      <c r="X29">
        <v>156</v>
      </c>
      <c r="Y29" s="8">
        <v>600</v>
      </c>
      <c r="AB29" s="7">
        <f t="shared" si="0"/>
        <v>5.0847457627118647E-2</v>
      </c>
      <c r="AC29">
        <f t="shared" si="1"/>
        <v>5.9829059829059832E-2</v>
      </c>
      <c r="AD29" s="8">
        <f t="shared" si="2"/>
        <v>0.19230769230769232</v>
      </c>
    </row>
    <row r="30" spans="1:30" x14ac:dyDescent="0.3">
      <c r="A30">
        <v>155</v>
      </c>
      <c r="B30">
        <v>119</v>
      </c>
      <c r="C30">
        <v>0.6720000000000006</v>
      </c>
      <c r="D30">
        <v>99</v>
      </c>
      <c r="E30">
        <v>136</v>
      </c>
      <c r="G30" s="7">
        <v>3.0999999999999917E-2</v>
      </c>
      <c r="H30">
        <v>76</v>
      </c>
      <c r="I30" s="8">
        <v>125</v>
      </c>
      <c r="J30" s="7">
        <v>4.4220000000000041</v>
      </c>
      <c r="K30">
        <v>9986</v>
      </c>
      <c r="L30" s="8">
        <v>2125</v>
      </c>
      <c r="M30" s="7">
        <v>2.5629999999999988</v>
      </c>
      <c r="N30">
        <v>3486</v>
      </c>
      <c r="O30" s="8">
        <v>825</v>
      </c>
      <c r="P30">
        <v>5.1089999999999947</v>
      </c>
      <c r="Q30">
        <v>8326</v>
      </c>
      <c r="R30">
        <v>2125</v>
      </c>
      <c r="S30" s="7">
        <v>2.016</v>
      </c>
      <c r="U30">
        <v>1826</v>
      </c>
      <c r="V30" s="8">
        <v>825</v>
      </c>
      <c r="W30" s="7">
        <v>18.592999999999961</v>
      </c>
      <c r="X30">
        <v>156</v>
      </c>
      <c r="Y30" s="8">
        <v>600</v>
      </c>
      <c r="AB30" s="7">
        <f t="shared" si="0"/>
        <v>0.13970588235294118</v>
      </c>
      <c r="AC30">
        <f t="shared" si="1"/>
        <v>0.30252100840336132</v>
      </c>
      <c r="AD30" s="8">
        <f t="shared" si="2"/>
        <v>0.56565656565656564</v>
      </c>
    </row>
    <row r="31" spans="1:30" x14ac:dyDescent="0.3">
      <c r="A31">
        <v>104</v>
      </c>
      <c r="B31">
        <v>83</v>
      </c>
      <c r="C31">
        <v>0.60999999999999943</v>
      </c>
      <c r="D31">
        <v>74</v>
      </c>
      <c r="E31">
        <v>87</v>
      </c>
      <c r="G31" s="7">
        <v>3.1000000000000139E-2</v>
      </c>
      <c r="H31">
        <v>76</v>
      </c>
      <c r="I31" s="8">
        <v>125</v>
      </c>
      <c r="J31" s="7">
        <v>1.4059999999999988</v>
      </c>
      <c r="K31">
        <v>7322</v>
      </c>
      <c r="L31" s="8">
        <v>1570</v>
      </c>
      <c r="M31" s="7">
        <v>0.85900000000000176</v>
      </c>
      <c r="N31">
        <v>2322</v>
      </c>
      <c r="O31" s="8">
        <v>570</v>
      </c>
      <c r="P31">
        <v>2.3590000000000089</v>
      </c>
      <c r="Q31">
        <v>6106</v>
      </c>
      <c r="R31">
        <v>1570</v>
      </c>
      <c r="S31" s="7">
        <v>0.71799999999999997</v>
      </c>
      <c r="U31">
        <v>1106</v>
      </c>
      <c r="V31" s="8">
        <v>570</v>
      </c>
      <c r="W31" s="7">
        <v>3.5160000000000196</v>
      </c>
      <c r="X31">
        <v>156</v>
      </c>
      <c r="Y31" s="8">
        <v>600</v>
      </c>
      <c r="AB31" s="7">
        <f t="shared" si="0"/>
        <v>0.19540229885057472</v>
      </c>
      <c r="AC31">
        <f t="shared" si="1"/>
        <v>0.25301204819277107</v>
      </c>
      <c r="AD31" s="8">
        <f t="shared" si="2"/>
        <v>0.40540540540540543</v>
      </c>
    </row>
    <row r="32" spans="1:30" x14ac:dyDescent="0.3">
      <c r="A32">
        <v>169</v>
      </c>
      <c r="B32">
        <v>152</v>
      </c>
      <c r="C32">
        <v>0.59299999999999997</v>
      </c>
      <c r="D32">
        <v>115</v>
      </c>
      <c r="E32">
        <v>168</v>
      </c>
      <c r="G32" s="7">
        <v>4.6999999999999931E-2</v>
      </c>
      <c r="H32">
        <v>76</v>
      </c>
      <c r="I32" s="8">
        <v>125</v>
      </c>
      <c r="J32" s="7">
        <v>14.140999999999991</v>
      </c>
      <c r="K32">
        <v>11330</v>
      </c>
      <c r="L32" s="8">
        <v>2405</v>
      </c>
      <c r="M32" s="7">
        <v>7.4839999999999982</v>
      </c>
      <c r="N32">
        <v>3780</v>
      </c>
      <c r="O32" s="8">
        <v>895</v>
      </c>
      <c r="P32">
        <v>13.342999999999989</v>
      </c>
      <c r="Q32">
        <v>9446</v>
      </c>
      <c r="R32">
        <v>2405</v>
      </c>
      <c r="S32" s="7">
        <v>5.1410000000000018</v>
      </c>
      <c r="U32">
        <v>1896</v>
      </c>
      <c r="V32" s="8">
        <v>895</v>
      </c>
      <c r="W32" s="7">
        <v>13.406000000000006</v>
      </c>
      <c r="X32">
        <v>156</v>
      </c>
      <c r="Y32" s="8">
        <v>600</v>
      </c>
      <c r="AB32" s="7">
        <f t="shared" si="0"/>
        <v>5.9523809523809521E-3</v>
      </c>
      <c r="AC32">
        <f t="shared" si="1"/>
        <v>0.1118421052631579</v>
      </c>
      <c r="AD32" s="8">
        <f t="shared" si="2"/>
        <v>0.46956521739130436</v>
      </c>
    </row>
    <row r="33" spans="1:30" ht="15" thickBot="1" x14ac:dyDescent="0.35">
      <c r="A33">
        <v>123</v>
      </c>
      <c r="B33">
        <v>96</v>
      </c>
      <c r="C33">
        <v>0.70300000000000296</v>
      </c>
      <c r="D33">
        <v>83</v>
      </c>
      <c r="E33">
        <v>103</v>
      </c>
      <c r="G33" s="9">
        <v>4.6999999999999931E-2</v>
      </c>
      <c r="H33" s="38">
        <v>76</v>
      </c>
      <c r="I33" s="12">
        <v>125</v>
      </c>
      <c r="J33" s="9">
        <v>1.7970000000000113</v>
      </c>
      <c r="K33" s="38">
        <v>8138</v>
      </c>
      <c r="L33" s="12">
        <v>1740</v>
      </c>
      <c r="M33" s="9">
        <v>0.5</v>
      </c>
      <c r="N33" s="38">
        <v>2763</v>
      </c>
      <c r="O33" s="12">
        <v>665</v>
      </c>
      <c r="P33" s="38">
        <v>1.9060000000000059</v>
      </c>
      <c r="Q33" s="38">
        <v>6786</v>
      </c>
      <c r="R33" s="38">
        <v>1740</v>
      </c>
      <c r="S33" s="9">
        <v>0.625</v>
      </c>
      <c r="T33" s="38"/>
      <c r="U33" s="38">
        <v>1411</v>
      </c>
      <c r="V33" s="12">
        <v>665</v>
      </c>
      <c r="W33" s="9">
        <v>18.23399999999998</v>
      </c>
      <c r="X33" s="38">
        <v>156</v>
      </c>
      <c r="Y33" s="12">
        <v>600</v>
      </c>
      <c r="AB33" s="9">
        <f t="shared" si="0"/>
        <v>0.1941747572815534</v>
      </c>
      <c r="AC33" s="38">
        <f t="shared" si="1"/>
        <v>0.28125</v>
      </c>
      <c r="AD33" s="12">
        <f t="shared" si="2"/>
        <v>0.48192771084337349</v>
      </c>
    </row>
    <row r="35" spans="1:30" x14ac:dyDescent="0.3">
      <c r="C35">
        <f>AVERAGE(C4:C33)</f>
        <v>0.61316666666666664</v>
      </c>
      <c r="E35">
        <f>AVERAGE(E4:E33)</f>
        <v>124.63333333333334</v>
      </c>
      <c r="G35">
        <f>AVERAGE(G4:G33)</f>
        <v>4.0133333333333333E-2</v>
      </c>
      <c r="H35">
        <f t="shared" ref="H35:S35" si="3">AVERAGE(H4:H33)</f>
        <v>76</v>
      </c>
      <c r="I35">
        <f t="shared" si="3"/>
        <v>125</v>
      </c>
      <c r="J35">
        <f t="shared" si="3"/>
        <v>2.6912000000000003</v>
      </c>
      <c r="K35">
        <f t="shared" si="3"/>
        <v>9051.6</v>
      </c>
      <c r="L35">
        <f t="shared" si="3"/>
        <v>1930.3333333333333</v>
      </c>
      <c r="M35">
        <f t="shared" si="3"/>
        <v>0.84833333333333327</v>
      </c>
      <c r="N35">
        <f t="shared" si="3"/>
        <v>3014.1</v>
      </c>
      <c r="O35">
        <f t="shared" si="3"/>
        <v>722.83333333333337</v>
      </c>
      <c r="P35">
        <f t="shared" si="3"/>
        <v>2.7389999999999999</v>
      </c>
      <c r="Q35">
        <f t="shared" si="3"/>
        <v>7547.333333333333</v>
      </c>
      <c r="R35">
        <f t="shared" si="3"/>
        <v>1930.3333333333333</v>
      </c>
      <c r="S35">
        <f t="shared" si="3"/>
        <v>0.71050000000000002</v>
      </c>
      <c r="U35">
        <f>AVERAGE(U4:U33)</f>
        <v>1509.8333333333333</v>
      </c>
      <c r="V35">
        <f>AVERAGE(V4:V33)</f>
        <v>722.83333333333337</v>
      </c>
      <c r="W35">
        <f>AVERAGE(W4:W33)</f>
        <v>10.4948</v>
      </c>
      <c r="X35">
        <f>AVERAGE(X4:X33)</f>
        <v>156</v>
      </c>
      <c r="Y35">
        <f>AVERAGE(Y4:Y33)</f>
        <v>600</v>
      </c>
      <c r="AB35">
        <f>AVERAGE(AB4:AB33)</f>
        <v>8.3257776549122489E-2</v>
      </c>
      <c r="AC35">
        <f>AVERAGE(AC4:AC33)</f>
        <v>0.14135718500830444</v>
      </c>
      <c r="AD35">
        <f>AVERAGE(AD4:AD33)</f>
        <v>0.34029770587326402</v>
      </c>
    </row>
    <row r="38" spans="1:30" x14ac:dyDescent="0.3">
      <c r="A38" s="74" t="s">
        <v>54</v>
      </c>
    </row>
    <row r="39" spans="1:30" ht="15" thickBot="1" x14ac:dyDescent="0.35"/>
    <row r="40" spans="1:30" x14ac:dyDescent="0.3">
      <c r="A40" t="s">
        <v>0</v>
      </c>
      <c r="B40" t="s">
        <v>7</v>
      </c>
      <c r="C40" t="s">
        <v>4</v>
      </c>
      <c r="D40" t="s">
        <v>8</v>
      </c>
      <c r="E40" t="s">
        <v>43</v>
      </c>
      <c r="G40" s="5" t="s">
        <v>48</v>
      </c>
      <c r="H40" s="22" t="s">
        <v>59</v>
      </c>
      <c r="I40" s="6" t="s">
        <v>60</v>
      </c>
      <c r="J40" s="5" t="s">
        <v>49</v>
      </c>
      <c r="K40" s="22" t="s">
        <v>59</v>
      </c>
      <c r="L40" s="6"/>
      <c r="M40" s="5" t="s">
        <v>50</v>
      </c>
      <c r="N40" s="22" t="s">
        <v>59</v>
      </c>
      <c r="O40" s="6" t="s">
        <v>60</v>
      </c>
      <c r="P40" s="22" t="s">
        <v>51</v>
      </c>
      <c r="Q40" s="22" t="s">
        <v>59</v>
      </c>
      <c r="R40" s="22" t="s">
        <v>60</v>
      </c>
      <c r="S40" s="5" t="s">
        <v>52</v>
      </c>
      <c r="T40" s="22"/>
      <c r="U40" s="22" t="s">
        <v>59</v>
      </c>
      <c r="V40" s="6" t="s">
        <v>60</v>
      </c>
      <c r="W40" s="5" t="s">
        <v>56</v>
      </c>
      <c r="X40" s="22" t="s">
        <v>59</v>
      </c>
      <c r="Y40" s="6" t="s">
        <v>60</v>
      </c>
      <c r="AB40" s="5" t="s">
        <v>9</v>
      </c>
      <c r="AC40" s="22" t="s">
        <v>10</v>
      </c>
      <c r="AD40" s="6" t="s">
        <v>18</v>
      </c>
    </row>
    <row r="41" spans="1:30" x14ac:dyDescent="0.3">
      <c r="G41" s="7"/>
      <c r="I41" s="8"/>
      <c r="J41" s="7"/>
      <c r="L41" s="8"/>
      <c r="M41" s="7"/>
      <c r="O41" s="8"/>
      <c r="S41" s="7"/>
      <c r="V41" s="8"/>
      <c r="W41" s="7"/>
      <c r="Y41" s="8"/>
      <c r="AB41" s="7"/>
      <c r="AD41" s="8"/>
    </row>
    <row r="42" spans="1:30" x14ac:dyDescent="0.3">
      <c r="A42">
        <v>352</v>
      </c>
      <c r="B42">
        <v>296</v>
      </c>
      <c r="C42">
        <v>0.65</v>
      </c>
      <c r="D42">
        <v>265</v>
      </c>
      <c r="E42">
        <v>345</v>
      </c>
      <c r="G42" s="7">
        <v>6.3E-2</v>
      </c>
      <c r="H42">
        <v>76</v>
      </c>
      <c r="I42" s="8">
        <v>125</v>
      </c>
      <c r="J42" s="7">
        <v>49.234000000000002</v>
      </c>
      <c r="K42">
        <v>27074</v>
      </c>
      <c r="L42" s="8">
        <v>5685</v>
      </c>
      <c r="M42" s="7">
        <v>8.8130000000000006</v>
      </c>
      <c r="N42">
        <v>7699</v>
      </c>
      <c r="O42" s="8">
        <v>1810</v>
      </c>
      <c r="P42">
        <v>13.484999999999999</v>
      </c>
      <c r="Q42">
        <v>22566</v>
      </c>
      <c r="R42">
        <v>5685</v>
      </c>
      <c r="S42" s="7">
        <v>8.0150000000000006</v>
      </c>
      <c r="U42">
        <v>3191</v>
      </c>
      <c r="V42" s="8">
        <v>1810</v>
      </c>
      <c r="W42" s="7">
        <v>4.2350000000000003</v>
      </c>
      <c r="X42">
        <v>156</v>
      </c>
      <c r="Y42" s="8">
        <v>600</v>
      </c>
      <c r="AB42" s="7">
        <f t="shared" ref="AB42:AB71" si="4">(A42-E42)/E42</f>
        <v>2.0289855072463767E-2</v>
      </c>
      <c r="AC42">
        <f t="shared" ref="AC42:AC71" si="5">(A42-B42)/B42</f>
        <v>0.1891891891891892</v>
      </c>
      <c r="AD42" s="8">
        <f t="shared" ref="AD42:AD71" si="6">(A42-D42)/D42</f>
        <v>0.32830188679245281</v>
      </c>
    </row>
    <row r="43" spans="1:30" x14ac:dyDescent="0.3">
      <c r="A43">
        <v>397</v>
      </c>
      <c r="B43">
        <v>357</v>
      </c>
      <c r="C43">
        <v>0.6100000000000001</v>
      </c>
      <c r="D43">
        <v>268</v>
      </c>
      <c r="E43">
        <v>362</v>
      </c>
      <c r="G43" s="7">
        <v>6.3E-2</v>
      </c>
      <c r="H43">
        <v>76</v>
      </c>
      <c r="I43" s="8">
        <v>125</v>
      </c>
      <c r="J43" s="7">
        <v>33.280999999999999</v>
      </c>
      <c r="K43">
        <v>25586</v>
      </c>
      <c r="L43" s="8">
        <v>5375</v>
      </c>
      <c r="M43" s="7">
        <v>8.8599999999999977</v>
      </c>
      <c r="N43">
        <v>8886</v>
      </c>
      <c r="O43" s="8">
        <v>2035</v>
      </c>
      <c r="P43">
        <v>30.170999999999999</v>
      </c>
      <c r="Q43">
        <v>21326</v>
      </c>
      <c r="R43">
        <v>5375</v>
      </c>
      <c r="S43" s="7">
        <v>8.2650000000000006</v>
      </c>
      <c r="U43">
        <v>4626</v>
      </c>
      <c r="V43" s="8">
        <v>2035</v>
      </c>
      <c r="W43" s="7">
        <v>7.5780000000000003</v>
      </c>
      <c r="X43">
        <v>156</v>
      </c>
      <c r="Y43" s="8">
        <v>600</v>
      </c>
      <c r="AB43" s="7">
        <f t="shared" si="4"/>
        <v>9.668508287292818E-2</v>
      </c>
      <c r="AC43">
        <f t="shared" si="5"/>
        <v>0.11204481792717087</v>
      </c>
      <c r="AD43" s="8">
        <f t="shared" si="6"/>
        <v>0.48134328358208955</v>
      </c>
    </row>
    <row r="44" spans="1:30" x14ac:dyDescent="0.3">
      <c r="A44">
        <v>320</v>
      </c>
      <c r="B44">
        <v>303</v>
      </c>
      <c r="C44">
        <v>0.65599999999999969</v>
      </c>
      <c r="D44">
        <v>258</v>
      </c>
      <c r="E44">
        <v>316</v>
      </c>
      <c r="G44" s="7">
        <v>3.2000000000000001E-2</v>
      </c>
      <c r="H44">
        <v>76</v>
      </c>
      <c r="I44" s="8">
        <v>125</v>
      </c>
      <c r="J44" s="7">
        <v>15.141000000000005</v>
      </c>
      <c r="K44">
        <v>26354</v>
      </c>
      <c r="L44" s="8">
        <v>5535</v>
      </c>
      <c r="M44" s="7">
        <v>1.1400000000000006</v>
      </c>
      <c r="N44">
        <v>6929</v>
      </c>
      <c r="O44" s="8">
        <v>1650</v>
      </c>
      <c r="P44">
        <v>9.1559999999999988</v>
      </c>
      <c r="Q44">
        <v>21966</v>
      </c>
      <c r="R44">
        <v>5535</v>
      </c>
      <c r="S44" s="7">
        <v>0.7970000000000006</v>
      </c>
      <c r="U44">
        <v>2541</v>
      </c>
      <c r="V44" s="8">
        <v>1650</v>
      </c>
      <c r="W44" s="7">
        <v>0.98399999999999999</v>
      </c>
      <c r="X44">
        <v>156</v>
      </c>
      <c r="Y44" s="8">
        <v>600</v>
      </c>
      <c r="AB44" s="7">
        <f t="shared" si="4"/>
        <v>1.2658227848101266E-2</v>
      </c>
      <c r="AC44">
        <f t="shared" si="5"/>
        <v>5.6105610561056105E-2</v>
      </c>
      <c r="AD44" s="8">
        <f t="shared" si="6"/>
        <v>0.24031007751937986</v>
      </c>
    </row>
    <row r="45" spans="1:30" x14ac:dyDescent="0.3">
      <c r="A45">
        <v>395</v>
      </c>
      <c r="B45">
        <v>337</v>
      </c>
      <c r="C45">
        <v>0.67200000000000015</v>
      </c>
      <c r="D45">
        <v>252</v>
      </c>
      <c r="E45">
        <v>339</v>
      </c>
      <c r="G45" s="7">
        <v>4.6999999999999986E-2</v>
      </c>
      <c r="H45">
        <v>76</v>
      </c>
      <c r="I45" s="8">
        <v>125</v>
      </c>
      <c r="J45" s="7">
        <v>29.531999999999996</v>
      </c>
      <c r="K45">
        <v>25922</v>
      </c>
      <c r="L45" s="8">
        <v>5445</v>
      </c>
      <c r="M45" s="7">
        <v>5.968</v>
      </c>
      <c r="N45">
        <v>8822</v>
      </c>
      <c r="O45" s="8">
        <v>2025</v>
      </c>
      <c r="P45">
        <v>20.546999999999997</v>
      </c>
      <c r="Q45">
        <v>21606</v>
      </c>
      <c r="R45">
        <v>5445</v>
      </c>
      <c r="S45" s="7">
        <v>4.3439999999999976</v>
      </c>
      <c r="U45">
        <v>4506</v>
      </c>
      <c r="V45" s="8">
        <v>2025</v>
      </c>
      <c r="W45" s="7">
        <v>4.0309999999999988</v>
      </c>
      <c r="X45">
        <v>156</v>
      </c>
      <c r="Y45" s="8">
        <v>600</v>
      </c>
      <c r="AB45" s="7">
        <f t="shared" si="4"/>
        <v>0.16519174041297935</v>
      </c>
      <c r="AC45">
        <f t="shared" si="5"/>
        <v>0.17210682492581603</v>
      </c>
      <c r="AD45" s="8">
        <f t="shared" si="6"/>
        <v>0.56746031746031744</v>
      </c>
    </row>
    <row r="46" spans="1:30" x14ac:dyDescent="0.3">
      <c r="A46">
        <v>346</v>
      </c>
      <c r="B46">
        <v>309</v>
      </c>
      <c r="C46">
        <v>0.64100000000000001</v>
      </c>
      <c r="D46">
        <v>253</v>
      </c>
      <c r="E46">
        <v>336</v>
      </c>
      <c r="G46" s="7">
        <v>4.7000000000000014E-2</v>
      </c>
      <c r="H46">
        <v>76</v>
      </c>
      <c r="I46" s="8">
        <v>125</v>
      </c>
      <c r="J46" s="7">
        <v>40.578999999999994</v>
      </c>
      <c r="K46">
        <v>28370</v>
      </c>
      <c r="L46" s="8">
        <v>5955</v>
      </c>
      <c r="M46" s="7">
        <v>3.6720000000000006</v>
      </c>
      <c r="N46">
        <v>7495</v>
      </c>
      <c r="O46" s="8">
        <v>1780</v>
      </c>
      <c r="P46">
        <v>35.734000000000009</v>
      </c>
      <c r="Q46">
        <v>23646</v>
      </c>
      <c r="R46">
        <v>5955</v>
      </c>
      <c r="S46" s="7">
        <v>4.3900000000000006</v>
      </c>
      <c r="U46">
        <v>2771</v>
      </c>
      <c r="V46" s="8">
        <v>1780</v>
      </c>
      <c r="W46" s="7">
        <v>3.1099999999999994</v>
      </c>
      <c r="X46">
        <v>156</v>
      </c>
      <c r="Y46" s="8">
        <v>600</v>
      </c>
      <c r="AB46" s="7">
        <f t="shared" si="4"/>
        <v>2.976190476190476E-2</v>
      </c>
      <c r="AC46">
        <f t="shared" si="5"/>
        <v>0.11974110032362459</v>
      </c>
      <c r="AD46" s="8">
        <f t="shared" si="6"/>
        <v>0.3675889328063241</v>
      </c>
    </row>
    <row r="47" spans="1:30" x14ac:dyDescent="0.3">
      <c r="A47">
        <v>371</v>
      </c>
      <c r="B47">
        <v>317</v>
      </c>
      <c r="C47">
        <v>0.75</v>
      </c>
      <c r="D47">
        <v>235</v>
      </c>
      <c r="E47">
        <v>354</v>
      </c>
      <c r="G47" s="7">
        <v>4.5999999999999985E-2</v>
      </c>
      <c r="H47">
        <v>76</v>
      </c>
      <c r="I47" s="8">
        <v>125</v>
      </c>
      <c r="J47" s="7">
        <v>39.453000000000003</v>
      </c>
      <c r="K47">
        <v>25418</v>
      </c>
      <c r="L47" s="8">
        <v>5340</v>
      </c>
      <c r="M47" s="7">
        <v>19.358999999999998</v>
      </c>
      <c r="N47">
        <v>8243</v>
      </c>
      <c r="O47" s="8">
        <v>1905</v>
      </c>
      <c r="P47">
        <v>19.749999999999986</v>
      </c>
      <c r="Q47">
        <v>21186</v>
      </c>
      <c r="R47">
        <v>5340</v>
      </c>
      <c r="S47" s="7">
        <v>9.5309999999999988</v>
      </c>
      <c r="U47">
        <v>4011</v>
      </c>
      <c r="V47" s="8">
        <v>1905</v>
      </c>
      <c r="W47" s="7">
        <v>9.0310000000000024</v>
      </c>
      <c r="X47">
        <v>156</v>
      </c>
      <c r="Y47" s="8">
        <v>600</v>
      </c>
      <c r="AB47" s="7">
        <f t="shared" si="4"/>
        <v>4.8022598870056499E-2</v>
      </c>
      <c r="AC47">
        <f t="shared" si="5"/>
        <v>0.17034700315457413</v>
      </c>
      <c r="AD47" s="8">
        <f t="shared" si="6"/>
        <v>0.5787234042553191</v>
      </c>
    </row>
    <row r="48" spans="1:30" x14ac:dyDescent="0.3">
      <c r="A48">
        <v>421</v>
      </c>
      <c r="B48">
        <v>339</v>
      </c>
      <c r="C48">
        <v>0.78099999999999969</v>
      </c>
      <c r="D48">
        <v>247</v>
      </c>
      <c r="E48">
        <v>383</v>
      </c>
      <c r="G48" s="7">
        <v>6.3E-2</v>
      </c>
      <c r="H48">
        <v>76</v>
      </c>
      <c r="I48" s="8">
        <v>125</v>
      </c>
      <c r="J48" s="7">
        <v>50.407000000000011</v>
      </c>
      <c r="K48">
        <v>27890</v>
      </c>
      <c r="L48" s="8">
        <v>5855</v>
      </c>
      <c r="M48" s="7">
        <v>36.141000000000005</v>
      </c>
      <c r="N48">
        <v>9390</v>
      </c>
      <c r="O48" s="8">
        <v>2155</v>
      </c>
      <c r="P48">
        <v>183.23400000000001</v>
      </c>
      <c r="Q48">
        <v>23246</v>
      </c>
      <c r="R48">
        <v>5855</v>
      </c>
      <c r="S48" s="7">
        <v>62.796999999999997</v>
      </c>
      <c r="U48">
        <v>4746</v>
      </c>
      <c r="V48" s="8">
        <v>2155</v>
      </c>
      <c r="W48" s="7">
        <v>15.484999999999999</v>
      </c>
      <c r="X48">
        <v>156</v>
      </c>
      <c r="Y48" s="8">
        <v>600</v>
      </c>
      <c r="AB48" s="7">
        <f t="shared" si="4"/>
        <v>9.921671018276762E-2</v>
      </c>
      <c r="AC48">
        <f t="shared" si="5"/>
        <v>0.24188790560471976</v>
      </c>
      <c r="AD48" s="8">
        <f t="shared" si="6"/>
        <v>0.70445344129554655</v>
      </c>
    </row>
    <row r="49" spans="1:30" x14ac:dyDescent="0.3">
      <c r="A49">
        <v>359</v>
      </c>
      <c r="B49">
        <v>313</v>
      </c>
      <c r="C49">
        <v>0.76500000000000057</v>
      </c>
      <c r="D49">
        <v>235</v>
      </c>
      <c r="E49">
        <v>338</v>
      </c>
      <c r="G49" s="7">
        <v>4.5999999999999985E-2</v>
      </c>
      <c r="H49">
        <v>76</v>
      </c>
      <c r="I49" s="8">
        <v>125</v>
      </c>
      <c r="J49" s="7">
        <v>18.031999999999982</v>
      </c>
      <c r="K49">
        <v>25130</v>
      </c>
      <c r="L49" s="8">
        <v>5280</v>
      </c>
      <c r="M49" s="7">
        <v>9.5619999999999976</v>
      </c>
      <c r="N49">
        <v>7955</v>
      </c>
      <c r="O49" s="8">
        <v>1845</v>
      </c>
      <c r="P49">
        <v>20.062000000000012</v>
      </c>
      <c r="Q49">
        <v>20946</v>
      </c>
      <c r="R49">
        <v>5280</v>
      </c>
      <c r="S49" s="7">
        <v>11.703000000000003</v>
      </c>
      <c r="U49">
        <v>3771</v>
      </c>
      <c r="V49" s="8">
        <v>1845</v>
      </c>
      <c r="W49" s="7">
        <v>8.3440000000000012</v>
      </c>
      <c r="X49">
        <v>156</v>
      </c>
      <c r="Y49" s="8">
        <v>600</v>
      </c>
      <c r="AB49" s="7">
        <f t="shared" si="4"/>
        <v>6.2130177514792898E-2</v>
      </c>
      <c r="AC49">
        <f t="shared" si="5"/>
        <v>0.14696485623003194</v>
      </c>
      <c r="AD49" s="8">
        <f t="shared" si="6"/>
        <v>0.52765957446808509</v>
      </c>
    </row>
    <row r="50" spans="1:30" x14ac:dyDescent="0.3">
      <c r="A50">
        <v>338</v>
      </c>
      <c r="B50">
        <v>328</v>
      </c>
      <c r="C50">
        <v>0.78200000000000003</v>
      </c>
      <c r="D50">
        <v>257</v>
      </c>
      <c r="E50">
        <v>333</v>
      </c>
      <c r="G50" s="7">
        <v>3.1000000000000028E-2</v>
      </c>
      <c r="H50">
        <v>76</v>
      </c>
      <c r="I50" s="8">
        <v>125</v>
      </c>
      <c r="J50" s="7">
        <v>13.781000000000006</v>
      </c>
      <c r="K50">
        <v>26858</v>
      </c>
      <c r="L50" s="8">
        <v>5640</v>
      </c>
      <c r="M50" s="7">
        <v>2.5</v>
      </c>
      <c r="N50">
        <v>7358</v>
      </c>
      <c r="O50" s="8">
        <v>1740</v>
      </c>
      <c r="P50">
        <v>17.968999999999994</v>
      </c>
      <c r="Q50">
        <v>22386</v>
      </c>
      <c r="R50">
        <v>5640</v>
      </c>
      <c r="S50" s="7">
        <v>1.7810000000000059</v>
      </c>
      <c r="U50">
        <v>2886</v>
      </c>
      <c r="V50" s="8">
        <v>1740</v>
      </c>
      <c r="W50" s="7">
        <v>6.1559999999999988</v>
      </c>
      <c r="X50">
        <v>156</v>
      </c>
      <c r="Y50" s="8">
        <v>600</v>
      </c>
      <c r="AB50" s="7">
        <f t="shared" si="4"/>
        <v>1.5015015015015015E-2</v>
      </c>
      <c r="AC50">
        <f t="shared" si="5"/>
        <v>3.048780487804878E-2</v>
      </c>
      <c r="AD50" s="8">
        <f t="shared" si="6"/>
        <v>0.31517509727626458</v>
      </c>
    </row>
    <row r="51" spans="1:30" x14ac:dyDescent="0.3">
      <c r="A51">
        <v>348</v>
      </c>
      <c r="B51">
        <v>321</v>
      </c>
      <c r="C51">
        <v>0.81200000000000028</v>
      </c>
      <c r="D51">
        <v>260</v>
      </c>
      <c r="E51">
        <v>340</v>
      </c>
      <c r="G51" s="7">
        <v>4.6999999999999986E-2</v>
      </c>
      <c r="H51">
        <v>76</v>
      </c>
      <c r="I51" s="8">
        <v>125</v>
      </c>
      <c r="J51" s="7">
        <v>62.468999999999994</v>
      </c>
      <c r="K51">
        <v>27170</v>
      </c>
      <c r="L51" s="8">
        <v>5705</v>
      </c>
      <c r="M51" s="7">
        <v>5.4060000000000059</v>
      </c>
      <c r="N51">
        <v>7595</v>
      </c>
      <c r="O51" s="8">
        <v>1790</v>
      </c>
      <c r="P51">
        <v>28.264999999999986</v>
      </c>
      <c r="Q51">
        <v>22646</v>
      </c>
      <c r="R51">
        <v>5705</v>
      </c>
      <c r="S51" s="7">
        <v>5.7029999999999887</v>
      </c>
      <c r="U51">
        <v>3071</v>
      </c>
      <c r="V51" s="8">
        <v>1790</v>
      </c>
      <c r="W51" s="7">
        <v>5.8129999999999953</v>
      </c>
      <c r="X51">
        <v>156</v>
      </c>
      <c r="Y51" s="8">
        <v>600</v>
      </c>
      <c r="AB51" s="7">
        <f t="shared" si="4"/>
        <v>2.3529411764705882E-2</v>
      </c>
      <c r="AC51">
        <f t="shared" si="5"/>
        <v>8.4112149532710276E-2</v>
      </c>
      <c r="AD51" s="8">
        <f t="shared" si="6"/>
        <v>0.33846153846153848</v>
      </c>
    </row>
    <row r="52" spans="1:30" x14ac:dyDescent="0.3">
      <c r="A52">
        <v>363</v>
      </c>
      <c r="B52">
        <v>311</v>
      </c>
      <c r="C52">
        <v>0.79699999999999882</v>
      </c>
      <c r="D52">
        <v>263</v>
      </c>
      <c r="E52">
        <v>326</v>
      </c>
      <c r="G52" s="7">
        <v>3.1000000000000028E-2</v>
      </c>
      <c r="H52">
        <v>76</v>
      </c>
      <c r="I52" s="8">
        <v>125</v>
      </c>
      <c r="J52" s="7">
        <v>22.485000000000014</v>
      </c>
      <c r="K52">
        <v>28106</v>
      </c>
      <c r="L52" s="8">
        <v>5900</v>
      </c>
      <c r="M52" s="7">
        <v>6.5159999999999911</v>
      </c>
      <c r="N52">
        <v>7931</v>
      </c>
      <c r="O52" s="8">
        <v>1865</v>
      </c>
      <c r="P52">
        <v>16.937999999999988</v>
      </c>
      <c r="Q52">
        <v>23426</v>
      </c>
      <c r="R52">
        <v>5900</v>
      </c>
      <c r="S52" s="7">
        <v>6.9840000000000089</v>
      </c>
      <c r="U52">
        <v>3251</v>
      </c>
      <c r="V52" s="8">
        <v>1865</v>
      </c>
      <c r="W52" s="7">
        <v>2.25</v>
      </c>
      <c r="X52">
        <v>156</v>
      </c>
      <c r="Y52" s="8">
        <v>600</v>
      </c>
      <c r="AB52" s="7">
        <f t="shared" si="4"/>
        <v>0.11349693251533742</v>
      </c>
      <c r="AC52">
        <f t="shared" si="5"/>
        <v>0.16720257234726688</v>
      </c>
      <c r="AD52" s="8">
        <f t="shared" si="6"/>
        <v>0.38022813688212925</v>
      </c>
    </row>
    <row r="53" spans="1:30" x14ac:dyDescent="0.3">
      <c r="A53">
        <v>359</v>
      </c>
      <c r="B53">
        <v>323</v>
      </c>
      <c r="C53">
        <v>0.82800000000000118</v>
      </c>
      <c r="D53">
        <v>242</v>
      </c>
      <c r="E53">
        <v>344</v>
      </c>
      <c r="G53" s="7">
        <v>4.6999999999999931E-2</v>
      </c>
      <c r="H53">
        <v>76</v>
      </c>
      <c r="I53" s="8">
        <v>125</v>
      </c>
      <c r="J53" s="7">
        <v>28.98399999999998</v>
      </c>
      <c r="K53">
        <v>26618</v>
      </c>
      <c r="L53" s="8">
        <v>5590</v>
      </c>
      <c r="M53" s="7">
        <v>18.296999999999997</v>
      </c>
      <c r="N53">
        <v>7893</v>
      </c>
      <c r="O53" s="8">
        <v>1845</v>
      </c>
      <c r="P53">
        <v>21.593999999999994</v>
      </c>
      <c r="Q53">
        <v>22186</v>
      </c>
      <c r="R53">
        <v>5590</v>
      </c>
      <c r="S53" s="7">
        <v>14.329000000000008</v>
      </c>
      <c r="U53">
        <v>3461</v>
      </c>
      <c r="V53" s="8">
        <v>1845</v>
      </c>
      <c r="W53" s="7">
        <v>5.453000000000003</v>
      </c>
      <c r="X53">
        <v>156</v>
      </c>
      <c r="Y53" s="8">
        <v>600</v>
      </c>
      <c r="AB53" s="7">
        <f t="shared" si="4"/>
        <v>4.3604651162790699E-2</v>
      </c>
      <c r="AC53">
        <f t="shared" si="5"/>
        <v>0.11145510835913312</v>
      </c>
      <c r="AD53" s="8">
        <f t="shared" si="6"/>
        <v>0.48347107438016529</v>
      </c>
    </row>
    <row r="54" spans="1:30" x14ac:dyDescent="0.3">
      <c r="A54">
        <v>447</v>
      </c>
      <c r="B54">
        <v>351</v>
      </c>
      <c r="C54">
        <v>0.79699999999999882</v>
      </c>
      <c r="D54">
        <v>239</v>
      </c>
      <c r="E54">
        <v>361</v>
      </c>
      <c r="G54" s="7">
        <v>4.7000000000000042E-2</v>
      </c>
      <c r="H54">
        <v>76</v>
      </c>
      <c r="I54" s="8">
        <v>125</v>
      </c>
      <c r="J54" s="7">
        <v>44.062000000000012</v>
      </c>
      <c r="K54">
        <v>25874</v>
      </c>
      <c r="L54" s="8">
        <v>5435</v>
      </c>
      <c r="M54" s="7">
        <v>34.453000000000017</v>
      </c>
      <c r="N54">
        <v>10124</v>
      </c>
      <c r="O54" s="8">
        <v>2285</v>
      </c>
      <c r="P54">
        <v>33.359000000000037</v>
      </c>
      <c r="Q54">
        <v>21566</v>
      </c>
      <c r="R54">
        <v>5435</v>
      </c>
      <c r="S54" s="7">
        <v>25.125</v>
      </c>
      <c r="U54">
        <v>5816</v>
      </c>
      <c r="V54" s="8">
        <v>2285</v>
      </c>
      <c r="W54" s="7">
        <v>5.953000000000003</v>
      </c>
      <c r="X54">
        <v>156</v>
      </c>
      <c r="Y54" s="8">
        <v>600</v>
      </c>
      <c r="AB54" s="7">
        <f t="shared" si="4"/>
        <v>0.23822714681440443</v>
      </c>
      <c r="AC54">
        <f t="shared" si="5"/>
        <v>0.27350427350427353</v>
      </c>
      <c r="AD54" s="8">
        <f t="shared" si="6"/>
        <v>0.87029288702928875</v>
      </c>
    </row>
    <row r="55" spans="1:30" x14ac:dyDescent="0.3">
      <c r="A55">
        <v>359</v>
      </c>
      <c r="B55">
        <v>299</v>
      </c>
      <c r="C55">
        <v>0.78100000000000058</v>
      </c>
      <c r="D55">
        <v>247</v>
      </c>
      <c r="E55">
        <v>316</v>
      </c>
      <c r="G55" s="7">
        <v>4.7000000000000042E-2</v>
      </c>
      <c r="H55">
        <v>76</v>
      </c>
      <c r="I55" s="8">
        <v>125</v>
      </c>
      <c r="J55" s="7">
        <v>42.764999999999986</v>
      </c>
      <c r="K55">
        <v>27218</v>
      </c>
      <c r="L55" s="8">
        <v>5715</v>
      </c>
      <c r="M55" s="7">
        <v>5.5939999999999941</v>
      </c>
      <c r="N55">
        <v>7868</v>
      </c>
      <c r="O55" s="8">
        <v>1845</v>
      </c>
      <c r="P55">
        <v>28.812999999999988</v>
      </c>
      <c r="Q55">
        <v>22686</v>
      </c>
      <c r="R55">
        <v>5715</v>
      </c>
      <c r="S55" s="7">
        <v>3.4379999999999882</v>
      </c>
      <c r="U55">
        <v>3336</v>
      </c>
      <c r="V55" s="8">
        <v>1845</v>
      </c>
      <c r="W55" s="7">
        <v>1.875</v>
      </c>
      <c r="X55">
        <v>156</v>
      </c>
      <c r="Y55" s="8">
        <v>600</v>
      </c>
      <c r="AB55" s="7">
        <f t="shared" si="4"/>
        <v>0.13607594936708861</v>
      </c>
      <c r="AC55">
        <f t="shared" si="5"/>
        <v>0.20066889632107024</v>
      </c>
      <c r="AD55" s="8">
        <f t="shared" si="6"/>
        <v>0.45344129554655871</v>
      </c>
    </row>
    <row r="56" spans="1:30" x14ac:dyDescent="0.3">
      <c r="A56">
        <v>376</v>
      </c>
      <c r="B56">
        <v>326</v>
      </c>
      <c r="C56">
        <v>0.78200000000000003</v>
      </c>
      <c r="D56">
        <v>260</v>
      </c>
      <c r="E56">
        <v>358</v>
      </c>
      <c r="G56" s="7">
        <v>4.599999999999993E-2</v>
      </c>
      <c r="H56">
        <v>76</v>
      </c>
      <c r="I56" s="8">
        <v>125</v>
      </c>
      <c r="J56" s="7">
        <v>48.76600000000002</v>
      </c>
      <c r="K56">
        <v>26786</v>
      </c>
      <c r="L56" s="8">
        <v>5625</v>
      </c>
      <c r="M56" s="7">
        <v>9.7179999999999893</v>
      </c>
      <c r="N56">
        <v>8311</v>
      </c>
      <c r="O56" s="8">
        <v>1930</v>
      </c>
      <c r="P56">
        <v>22.468999999999994</v>
      </c>
      <c r="Q56">
        <v>22326</v>
      </c>
      <c r="R56">
        <v>5625</v>
      </c>
      <c r="S56" s="7">
        <v>13.671999999999997</v>
      </c>
      <c r="U56">
        <v>3851</v>
      </c>
      <c r="V56" s="8">
        <v>1930</v>
      </c>
      <c r="W56" s="7">
        <v>13.280999999999992</v>
      </c>
      <c r="X56">
        <v>156</v>
      </c>
      <c r="Y56" s="8">
        <v>600</v>
      </c>
      <c r="AB56" s="7">
        <f t="shared" si="4"/>
        <v>5.027932960893855E-2</v>
      </c>
      <c r="AC56">
        <f t="shared" si="5"/>
        <v>0.15337423312883436</v>
      </c>
      <c r="AD56" s="8">
        <f t="shared" si="6"/>
        <v>0.44615384615384618</v>
      </c>
    </row>
    <row r="57" spans="1:30" x14ac:dyDescent="0.3">
      <c r="A57">
        <v>399</v>
      </c>
      <c r="B57">
        <v>340</v>
      </c>
      <c r="C57">
        <v>0.79599999999999937</v>
      </c>
      <c r="D57">
        <v>258</v>
      </c>
      <c r="E57">
        <v>371</v>
      </c>
      <c r="G57" s="7">
        <v>4.7000000000000042E-2</v>
      </c>
      <c r="H57">
        <v>76</v>
      </c>
      <c r="I57" s="8">
        <v>125</v>
      </c>
      <c r="J57" s="7">
        <v>38.297000000000025</v>
      </c>
      <c r="K57">
        <v>28610</v>
      </c>
      <c r="L57" s="8">
        <v>6005</v>
      </c>
      <c r="M57" s="7">
        <v>16.390999999999991</v>
      </c>
      <c r="N57">
        <v>8810</v>
      </c>
      <c r="O57" s="8">
        <v>2045</v>
      </c>
      <c r="P57">
        <v>27.671999999999969</v>
      </c>
      <c r="Q57">
        <v>23846</v>
      </c>
      <c r="R57">
        <v>6005</v>
      </c>
      <c r="S57" s="7">
        <v>13.984000000000009</v>
      </c>
      <c r="U57">
        <v>4046</v>
      </c>
      <c r="V57" s="8">
        <v>2045</v>
      </c>
      <c r="W57" s="7">
        <v>5.3120000000000118</v>
      </c>
      <c r="X57">
        <v>156</v>
      </c>
      <c r="Y57" s="8">
        <v>600</v>
      </c>
      <c r="AB57" s="7">
        <f t="shared" si="4"/>
        <v>7.5471698113207544E-2</v>
      </c>
      <c r="AC57">
        <f t="shared" si="5"/>
        <v>0.17352941176470588</v>
      </c>
      <c r="AD57" s="8">
        <f t="shared" si="6"/>
        <v>0.54651162790697672</v>
      </c>
    </row>
    <row r="58" spans="1:30" x14ac:dyDescent="0.3">
      <c r="A58">
        <v>307</v>
      </c>
      <c r="B58">
        <v>274</v>
      </c>
      <c r="C58">
        <v>0.89100000000000001</v>
      </c>
      <c r="D58">
        <v>224</v>
      </c>
      <c r="E58">
        <v>307</v>
      </c>
      <c r="G58" s="7">
        <v>3.1000000000000028E-2</v>
      </c>
      <c r="H58">
        <v>76</v>
      </c>
      <c r="I58" s="8">
        <v>125</v>
      </c>
      <c r="J58" s="7">
        <v>40.297000000000025</v>
      </c>
      <c r="K58">
        <v>24986</v>
      </c>
      <c r="L58" s="8">
        <v>5250</v>
      </c>
      <c r="M58" s="7">
        <v>3.578000000000003</v>
      </c>
      <c r="N58">
        <v>6661</v>
      </c>
      <c r="O58" s="8">
        <v>1585</v>
      </c>
      <c r="P58">
        <v>11.172000000000025</v>
      </c>
      <c r="Q58">
        <v>20826</v>
      </c>
      <c r="R58">
        <v>5250</v>
      </c>
      <c r="S58" s="7">
        <v>2.7810000000000059</v>
      </c>
      <c r="U58">
        <v>2501</v>
      </c>
      <c r="V58" s="8">
        <v>1585</v>
      </c>
      <c r="W58" s="7">
        <v>3.25</v>
      </c>
      <c r="X58">
        <v>156</v>
      </c>
      <c r="Y58" s="8">
        <v>600</v>
      </c>
      <c r="AB58" s="7">
        <f t="shared" si="4"/>
        <v>0</v>
      </c>
      <c r="AC58">
        <f t="shared" si="5"/>
        <v>0.12043795620437957</v>
      </c>
      <c r="AD58" s="8">
        <f t="shared" si="6"/>
        <v>0.3705357142857143</v>
      </c>
    </row>
    <row r="59" spans="1:30" x14ac:dyDescent="0.3">
      <c r="A59">
        <v>344</v>
      </c>
      <c r="B59">
        <v>276</v>
      </c>
      <c r="C59">
        <v>0.84400000000000119</v>
      </c>
      <c r="D59">
        <v>226</v>
      </c>
      <c r="E59">
        <v>285</v>
      </c>
      <c r="G59" s="7">
        <v>4.6999999999999931E-2</v>
      </c>
      <c r="H59">
        <v>76</v>
      </c>
      <c r="I59" s="8">
        <v>125</v>
      </c>
      <c r="J59" s="7">
        <v>11.796999999999912</v>
      </c>
      <c r="K59">
        <v>24986</v>
      </c>
      <c r="L59" s="8">
        <v>5250</v>
      </c>
      <c r="M59" s="7">
        <v>3.703000000000003</v>
      </c>
      <c r="N59">
        <v>7586</v>
      </c>
      <c r="O59" s="8">
        <v>1770</v>
      </c>
      <c r="P59">
        <v>6.4840000000000373</v>
      </c>
      <c r="Q59">
        <v>20826</v>
      </c>
      <c r="R59">
        <v>5250</v>
      </c>
      <c r="S59" s="7">
        <v>2.671999999999997</v>
      </c>
      <c r="U59">
        <v>3426</v>
      </c>
      <c r="V59" s="8">
        <v>1770</v>
      </c>
      <c r="W59" s="7">
        <v>6.6089999999999947</v>
      </c>
      <c r="X59">
        <v>156</v>
      </c>
      <c r="Y59" s="8">
        <v>600</v>
      </c>
      <c r="AB59" s="7">
        <f t="shared" si="4"/>
        <v>0.20701754385964913</v>
      </c>
      <c r="AC59">
        <f t="shared" si="5"/>
        <v>0.24637681159420291</v>
      </c>
      <c r="AD59" s="8">
        <f t="shared" si="6"/>
        <v>0.52212389380530977</v>
      </c>
    </row>
    <row r="60" spans="1:30" x14ac:dyDescent="0.3">
      <c r="A60">
        <v>341</v>
      </c>
      <c r="B60">
        <v>313</v>
      </c>
      <c r="C60">
        <v>0.78099999999999881</v>
      </c>
      <c r="D60">
        <v>261</v>
      </c>
      <c r="E60">
        <v>341</v>
      </c>
      <c r="G60" s="7">
        <v>4.7000000000000042E-2</v>
      </c>
      <c r="H60">
        <v>76</v>
      </c>
      <c r="I60" s="8">
        <v>125</v>
      </c>
      <c r="J60" s="7">
        <v>24.875</v>
      </c>
      <c r="K60">
        <v>27170</v>
      </c>
      <c r="L60" s="8">
        <v>5705</v>
      </c>
      <c r="M60" s="7">
        <v>1.9070000000000107</v>
      </c>
      <c r="N60">
        <v>7420</v>
      </c>
      <c r="O60" s="8">
        <v>1755</v>
      </c>
      <c r="P60">
        <v>23.233999999999924</v>
      </c>
      <c r="Q60">
        <v>22646</v>
      </c>
      <c r="R60">
        <v>5705</v>
      </c>
      <c r="S60" s="7">
        <v>2.375</v>
      </c>
      <c r="U60">
        <v>2896</v>
      </c>
      <c r="V60" s="8">
        <v>1755</v>
      </c>
      <c r="W60" s="7">
        <v>4.25</v>
      </c>
      <c r="X60">
        <v>156</v>
      </c>
      <c r="Y60" s="8">
        <v>600</v>
      </c>
      <c r="AB60" s="7">
        <f t="shared" si="4"/>
        <v>0</v>
      </c>
      <c r="AC60">
        <f t="shared" si="5"/>
        <v>8.9456869009584661E-2</v>
      </c>
      <c r="AD60" s="8">
        <f t="shared" si="6"/>
        <v>0.3065134099616858</v>
      </c>
    </row>
    <row r="61" spans="1:30" x14ac:dyDescent="0.3">
      <c r="A61">
        <v>418</v>
      </c>
      <c r="B61">
        <v>373</v>
      </c>
      <c r="C61">
        <v>0.81300000000000061</v>
      </c>
      <c r="D61">
        <v>271</v>
      </c>
      <c r="E61">
        <v>373</v>
      </c>
      <c r="G61" s="7">
        <v>4.7000000000000042E-2</v>
      </c>
      <c r="H61">
        <v>76</v>
      </c>
      <c r="I61" s="8">
        <v>125</v>
      </c>
      <c r="J61" s="7">
        <v>14.703000000000088</v>
      </c>
      <c r="K61">
        <v>27482</v>
      </c>
      <c r="L61" s="8">
        <v>5770</v>
      </c>
      <c r="M61" s="7">
        <v>10.875</v>
      </c>
      <c r="N61">
        <v>9332</v>
      </c>
      <c r="O61" s="8">
        <v>2140</v>
      </c>
      <c r="P61">
        <v>18.453000000000088</v>
      </c>
      <c r="Q61">
        <v>22906</v>
      </c>
      <c r="R61">
        <v>5770</v>
      </c>
      <c r="S61" s="7">
        <v>4.2349999999999852</v>
      </c>
      <c r="U61">
        <v>4756</v>
      </c>
      <c r="V61" s="8">
        <v>2140</v>
      </c>
      <c r="W61" s="7">
        <v>8.2189999999999941</v>
      </c>
      <c r="X61">
        <v>156</v>
      </c>
      <c r="Y61" s="8">
        <v>600</v>
      </c>
      <c r="AB61" s="7">
        <f t="shared" si="4"/>
        <v>0.12064343163538874</v>
      </c>
      <c r="AC61">
        <f t="shared" si="5"/>
        <v>0.12064343163538874</v>
      </c>
      <c r="AD61" s="8">
        <f t="shared" si="6"/>
        <v>0.54243542435424352</v>
      </c>
    </row>
    <row r="62" spans="1:30" x14ac:dyDescent="0.3">
      <c r="A62">
        <v>358</v>
      </c>
      <c r="B62">
        <v>314</v>
      </c>
      <c r="C62">
        <v>0.93700000000000117</v>
      </c>
      <c r="D62">
        <v>260</v>
      </c>
      <c r="E62">
        <v>352</v>
      </c>
      <c r="G62" s="7">
        <v>4.6999999999999931E-2</v>
      </c>
      <c r="H62">
        <v>76</v>
      </c>
      <c r="I62" s="8">
        <v>125</v>
      </c>
      <c r="J62" s="7">
        <v>34.405999999999949</v>
      </c>
      <c r="K62">
        <v>28106</v>
      </c>
      <c r="L62" s="8">
        <v>5900</v>
      </c>
      <c r="M62" s="7">
        <v>3.6090000000000089</v>
      </c>
      <c r="N62">
        <v>7806</v>
      </c>
      <c r="O62" s="8">
        <v>1840</v>
      </c>
      <c r="P62">
        <v>17.342999999999961</v>
      </c>
      <c r="Q62">
        <v>23426</v>
      </c>
      <c r="R62">
        <v>5900</v>
      </c>
      <c r="S62" s="7">
        <v>5.0620000000000118</v>
      </c>
      <c r="U62">
        <v>3126</v>
      </c>
      <c r="V62" s="8">
        <v>1840</v>
      </c>
      <c r="W62" s="7">
        <v>2.7660000000000053</v>
      </c>
      <c r="X62">
        <v>156</v>
      </c>
      <c r="Y62" s="8">
        <v>600</v>
      </c>
      <c r="AB62" s="7">
        <f t="shared" si="4"/>
        <v>1.7045454545454544E-2</v>
      </c>
      <c r="AC62">
        <f t="shared" si="5"/>
        <v>0.14012738853503184</v>
      </c>
      <c r="AD62" s="8">
        <f t="shared" si="6"/>
        <v>0.37692307692307692</v>
      </c>
    </row>
    <row r="63" spans="1:30" x14ac:dyDescent="0.3">
      <c r="A63">
        <v>380</v>
      </c>
      <c r="B63">
        <v>310</v>
      </c>
      <c r="C63">
        <v>0.85899999999999821</v>
      </c>
      <c r="D63">
        <v>255</v>
      </c>
      <c r="E63">
        <v>340</v>
      </c>
      <c r="G63" s="7">
        <v>4.7000000000000042E-2</v>
      </c>
      <c r="H63">
        <v>76</v>
      </c>
      <c r="I63" s="8">
        <v>125</v>
      </c>
      <c r="J63" s="7">
        <v>37.639999999999986</v>
      </c>
      <c r="K63">
        <v>27554</v>
      </c>
      <c r="L63" s="8">
        <v>5785</v>
      </c>
      <c r="M63" s="7">
        <v>16.655999999999977</v>
      </c>
      <c r="N63">
        <v>8379</v>
      </c>
      <c r="O63" s="8">
        <v>1950</v>
      </c>
      <c r="P63">
        <v>19.640999999999963</v>
      </c>
      <c r="Q63">
        <v>22966</v>
      </c>
      <c r="R63">
        <v>5785</v>
      </c>
      <c r="S63" s="7">
        <v>8.3590000000000089</v>
      </c>
      <c r="U63">
        <v>3791</v>
      </c>
      <c r="V63" s="8">
        <v>1950</v>
      </c>
      <c r="W63" s="7">
        <v>5.4839999999999947</v>
      </c>
      <c r="X63">
        <v>156</v>
      </c>
      <c r="Y63" s="8">
        <v>600</v>
      </c>
      <c r="AB63" s="7">
        <f t="shared" si="4"/>
        <v>0.11764705882352941</v>
      </c>
      <c r="AC63">
        <f t="shared" si="5"/>
        <v>0.22580645161290322</v>
      </c>
      <c r="AD63" s="8">
        <f t="shared" si="6"/>
        <v>0.49019607843137253</v>
      </c>
    </row>
    <row r="64" spans="1:30" x14ac:dyDescent="0.3">
      <c r="A64">
        <v>372</v>
      </c>
      <c r="B64">
        <v>335</v>
      </c>
      <c r="C64">
        <v>0.78200000000000003</v>
      </c>
      <c r="D64">
        <v>246</v>
      </c>
      <c r="E64">
        <v>348</v>
      </c>
      <c r="G64" s="7">
        <v>3.2000000000000028E-2</v>
      </c>
      <c r="H64">
        <v>76</v>
      </c>
      <c r="I64" s="8">
        <v>125</v>
      </c>
      <c r="J64" s="7">
        <v>32.969000000000051</v>
      </c>
      <c r="K64">
        <v>26138</v>
      </c>
      <c r="L64" s="8">
        <v>5490</v>
      </c>
      <c r="M64" s="7">
        <v>9.296999999999997</v>
      </c>
      <c r="N64">
        <v>8238</v>
      </c>
      <c r="O64" s="8">
        <v>1910</v>
      </c>
      <c r="P64">
        <v>9.9370000000000118</v>
      </c>
      <c r="Q64">
        <v>21786</v>
      </c>
      <c r="R64">
        <v>5490</v>
      </c>
      <c r="S64" s="7">
        <v>6.8119999999999834</v>
      </c>
      <c r="U64">
        <v>3886</v>
      </c>
      <c r="V64" s="8">
        <v>1910</v>
      </c>
      <c r="W64" s="7">
        <v>7.7650000000000148</v>
      </c>
      <c r="X64">
        <v>156</v>
      </c>
      <c r="Y64" s="8">
        <v>600</v>
      </c>
      <c r="AB64" s="7">
        <f t="shared" si="4"/>
        <v>6.8965517241379309E-2</v>
      </c>
      <c r="AC64">
        <f t="shared" si="5"/>
        <v>0.11044776119402985</v>
      </c>
      <c r="AD64" s="8">
        <f t="shared" si="6"/>
        <v>0.51219512195121952</v>
      </c>
    </row>
    <row r="65" spans="1:30" x14ac:dyDescent="0.3">
      <c r="A65">
        <v>332</v>
      </c>
      <c r="B65">
        <v>302</v>
      </c>
      <c r="C65">
        <v>0.90599999999999881</v>
      </c>
      <c r="D65">
        <v>245</v>
      </c>
      <c r="E65">
        <v>332</v>
      </c>
      <c r="G65" s="7">
        <v>3.0999999999999917E-2</v>
      </c>
      <c r="H65">
        <v>76</v>
      </c>
      <c r="I65" s="8">
        <v>125</v>
      </c>
      <c r="J65" s="7">
        <v>16.25</v>
      </c>
      <c r="K65">
        <v>27026</v>
      </c>
      <c r="L65" s="8">
        <v>5675</v>
      </c>
      <c r="M65" s="7">
        <v>1.6400000000000148</v>
      </c>
      <c r="N65">
        <v>7201</v>
      </c>
      <c r="O65" s="8">
        <v>1710</v>
      </c>
      <c r="P65">
        <v>13.297000000000025</v>
      </c>
      <c r="Q65">
        <v>22526</v>
      </c>
      <c r="R65">
        <v>5675</v>
      </c>
      <c r="S65" s="7">
        <v>1.125</v>
      </c>
      <c r="U65">
        <v>2701</v>
      </c>
      <c r="V65" s="8">
        <v>1710</v>
      </c>
      <c r="W65" s="7">
        <v>4.4379999999999882</v>
      </c>
      <c r="X65">
        <v>156</v>
      </c>
      <c r="Y65" s="8">
        <v>600</v>
      </c>
      <c r="AB65" s="7">
        <f t="shared" si="4"/>
        <v>0</v>
      </c>
      <c r="AC65">
        <f t="shared" si="5"/>
        <v>9.9337748344370855E-2</v>
      </c>
      <c r="AD65" s="8">
        <f t="shared" si="6"/>
        <v>0.35510204081632651</v>
      </c>
    </row>
    <row r="66" spans="1:30" x14ac:dyDescent="0.3">
      <c r="A66">
        <v>338</v>
      </c>
      <c r="B66">
        <v>289</v>
      </c>
      <c r="C66">
        <v>0.76600000000000179</v>
      </c>
      <c r="D66">
        <v>233</v>
      </c>
      <c r="E66">
        <v>318</v>
      </c>
      <c r="G66" s="7">
        <v>4.6999999999999931E-2</v>
      </c>
      <c r="H66">
        <v>76</v>
      </c>
      <c r="I66" s="8">
        <v>125</v>
      </c>
      <c r="J66" s="7">
        <v>9.0469999999999118</v>
      </c>
      <c r="K66">
        <v>26114</v>
      </c>
      <c r="L66" s="8">
        <v>5485</v>
      </c>
      <c r="M66" s="7">
        <v>5.8599999999999852</v>
      </c>
      <c r="N66">
        <v>7389</v>
      </c>
      <c r="O66" s="8">
        <v>1740</v>
      </c>
      <c r="P66">
        <v>20.187999999999988</v>
      </c>
      <c r="Q66">
        <v>21766</v>
      </c>
      <c r="R66">
        <v>5485</v>
      </c>
      <c r="S66" s="7">
        <v>4.4380000000000166</v>
      </c>
      <c r="U66">
        <v>3041</v>
      </c>
      <c r="V66" s="8">
        <v>1740</v>
      </c>
      <c r="W66" s="7">
        <v>2.421999999999997</v>
      </c>
      <c r="X66">
        <v>156</v>
      </c>
      <c r="Y66" s="8">
        <v>600</v>
      </c>
      <c r="AB66" s="7">
        <f t="shared" si="4"/>
        <v>6.2893081761006289E-2</v>
      </c>
      <c r="AC66">
        <f t="shared" si="5"/>
        <v>0.16955017301038061</v>
      </c>
      <c r="AD66" s="8">
        <f t="shared" si="6"/>
        <v>0.45064377682403434</v>
      </c>
    </row>
    <row r="67" spans="1:30" x14ac:dyDescent="0.3">
      <c r="A67">
        <v>340</v>
      </c>
      <c r="B67">
        <v>319</v>
      </c>
      <c r="C67">
        <v>0.76500000000000057</v>
      </c>
      <c r="D67">
        <v>252</v>
      </c>
      <c r="E67">
        <v>338</v>
      </c>
      <c r="G67" s="7">
        <v>3.1000000000000139E-2</v>
      </c>
      <c r="H67">
        <v>76</v>
      </c>
      <c r="I67" s="8">
        <v>125</v>
      </c>
      <c r="J67" s="7">
        <v>36.984000000000037</v>
      </c>
      <c r="K67">
        <v>26474</v>
      </c>
      <c r="L67" s="8">
        <v>5560</v>
      </c>
      <c r="M67" s="7">
        <v>5.9370000000000118</v>
      </c>
      <c r="N67">
        <v>7424</v>
      </c>
      <c r="O67" s="8">
        <v>1750</v>
      </c>
      <c r="P67">
        <v>20.359000000000037</v>
      </c>
      <c r="Q67">
        <v>22066</v>
      </c>
      <c r="R67">
        <v>5560</v>
      </c>
      <c r="S67" s="7">
        <v>4.8279999999999745</v>
      </c>
      <c r="U67">
        <v>3016</v>
      </c>
      <c r="V67" s="8">
        <v>1750</v>
      </c>
      <c r="W67" s="7">
        <v>6.3910000000000196</v>
      </c>
      <c r="X67">
        <v>156</v>
      </c>
      <c r="Y67" s="8">
        <v>600</v>
      </c>
      <c r="AB67" s="7">
        <f t="shared" si="4"/>
        <v>5.9171597633136093E-3</v>
      </c>
      <c r="AC67">
        <f t="shared" si="5"/>
        <v>6.5830721003134793E-2</v>
      </c>
      <c r="AD67" s="8">
        <f t="shared" si="6"/>
        <v>0.34920634920634919</v>
      </c>
    </row>
    <row r="68" spans="1:30" x14ac:dyDescent="0.3">
      <c r="A68">
        <v>417</v>
      </c>
      <c r="B68">
        <v>322</v>
      </c>
      <c r="C68">
        <v>0.89099999999999824</v>
      </c>
      <c r="D68">
        <v>246</v>
      </c>
      <c r="E68">
        <v>368</v>
      </c>
      <c r="G68" s="7">
        <v>3.0999999999999917E-2</v>
      </c>
      <c r="H68">
        <v>76</v>
      </c>
      <c r="I68" s="8">
        <v>125</v>
      </c>
      <c r="J68" s="7">
        <v>48.734000000000037</v>
      </c>
      <c r="K68">
        <v>27650</v>
      </c>
      <c r="L68" s="8">
        <v>5805</v>
      </c>
      <c r="M68" s="7">
        <v>15.922000000000025</v>
      </c>
      <c r="N68">
        <v>9300</v>
      </c>
      <c r="O68" s="8">
        <v>2135</v>
      </c>
      <c r="P68">
        <v>26.077999999999975</v>
      </c>
      <c r="Q68">
        <v>23046</v>
      </c>
      <c r="R68">
        <v>5805</v>
      </c>
      <c r="S68" s="7">
        <v>22.703000000000003</v>
      </c>
      <c r="U68">
        <v>4696</v>
      </c>
      <c r="V68" s="8">
        <v>2135</v>
      </c>
      <c r="W68" s="7">
        <v>13.812999999999988</v>
      </c>
      <c r="X68">
        <v>156</v>
      </c>
      <c r="Y68" s="8">
        <v>600</v>
      </c>
      <c r="AB68" s="7">
        <f t="shared" si="4"/>
        <v>0.13315217391304349</v>
      </c>
      <c r="AC68">
        <f t="shared" si="5"/>
        <v>0.29503105590062112</v>
      </c>
      <c r="AD68" s="8">
        <f t="shared" si="6"/>
        <v>0.69512195121951215</v>
      </c>
    </row>
    <row r="69" spans="1:30" x14ac:dyDescent="0.3">
      <c r="A69">
        <v>315</v>
      </c>
      <c r="B69">
        <v>309</v>
      </c>
      <c r="C69">
        <v>0.7970000000000006</v>
      </c>
      <c r="D69">
        <v>222</v>
      </c>
      <c r="E69">
        <v>315</v>
      </c>
      <c r="G69" s="7">
        <v>4.7000000000000153E-2</v>
      </c>
      <c r="H69">
        <v>76</v>
      </c>
      <c r="I69" s="8">
        <v>125</v>
      </c>
      <c r="J69" s="7">
        <v>24.187999999999988</v>
      </c>
      <c r="K69">
        <v>24962</v>
      </c>
      <c r="L69" s="8">
        <v>5245</v>
      </c>
      <c r="M69" s="7">
        <v>1.4219999999999686</v>
      </c>
      <c r="N69">
        <v>6862</v>
      </c>
      <c r="O69" s="8">
        <v>1625</v>
      </c>
      <c r="P69">
        <v>15.922000000000025</v>
      </c>
      <c r="Q69">
        <v>20806</v>
      </c>
      <c r="R69">
        <v>5245</v>
      </c>
      <c r="S69" s="7">
        <v>0.78199999999998226</v>
      </c>
      <c r="U69">
        <v>2706</v>
      </c>
      <c r="V69" s="8">
        <v>1625</v>
      </c>
      <c r="W69" s="7">
        <v>3.828000000000003</v>
      </c>
      <c r="X69">
        <v>156</v>
      </c>
      <c r="Y69" s="8">
        <v>600</v>
      </c>
      <c r="AB69" s="7">
        <f t="shared" si="4"/>
        <v>0</v>
      </c>
      <c r="AC69">
        <f t="shared" si="5"/>
        <v>1.9417475728155338E-2</v>
      </c>
      <c r="AD69" s="8">
        <f t="shared" si="6"/>
        <v>0.41891891891891891</v>
      </c>
    </row>
    <row r="70" spans="1:30" x14ac:dyDescent="0.3">
      <c r="A70">
        <v>451</v>
      </c>
      <c r="B70">
        <v>388</v>
      </c>
      <c r="C70">
        <v>0.75</v>
      </c>
      <c r="D70">
        <v>264</v>
      </c>
      <c r="E70">
        <v>406</v>
      </c>
      <c r="G70" s="7">
        <v>4.6999999999999931E-2</v>
      </c>
      <c r="H70">
        <v>76</v>
      </c>
      <c r="I70" s="8">
        <v>125</v>
      </c>
      <c r="J70" s="7">
        <v>102.35900000000004</v>
      </c>
      <c r="K70">
        <v>29138</v>
      </c>
      <c r="L70" s="8">
        <v>6115</v>
      </c>
      <c r="M70" s="7">
        <v>14.875</v>
      </c>
      <c r="N70">
        <v>10088</v>
      </c>
      <c r="O70" s="8">
        <v>2305</v>
      </c>
      <c r="P70">
        <v>87.280999999999949</v>
      </c>
      <c r="Q70">
        <v>24286</v>
      </c>
      <c r="R70">
        <v>6115</v>
      </c>
      <c r="S70" s="7">
        <v>51.51600000000002</v>
      </c>
      <c r="U70">
        <v>5236</v>
      </c>
      <c r="V70" s="8">
        <v>2305</v>
      </c>
      <c r="W70" s="7">
        <v>8.0939999999999941</v>
      </c>
      <c r="X70">
        <v>156</v>
      </c>
      <c r="Y70" s="8">
        <v>600</v>
      </c>
      <c r="AB70" s="7">
        <f t="shared" si="4"/>
        <v>0.11083743842364532</v>
      </c>
      <c r="AC70">
        <f t="shared" si="5"/>
        <v>0.16237113402061856</v>
      </c>
      <c r="AD70" s="8">
        <f t="shared" si="6"/>
        <v>0.70833333333333337</v>
      </c>
    </row>
    <row r="71" spans="1:30" ht="15" thickBot="1" x14ac:dyDescent="0.35">
      <c r="A71">
        <v>343</v>
      </c>
      <c r="B71">
        <v>293</v>
      </c>
      <c r="C71">
        <v>0.85900000000000176</v>
      </c>
      <c r="D71">
        <v>231</v>
      </c>
      <c r="E71">
        <v>311</v>
      </c>
      <c r="G71" s="9">
        <v>4.6999999999999931E-2</v>
      </c>
      <c r="H71" s="38">
        <v>76</v>
      </c>
      <c r="I71" s="12">
        <v>125</v>
      </c>
      <c r="J71" s="9">
        <v>28.139999999999873</v>
      </c>
      <c r="K71" s="38">
        <v>25802</v>
      </c>
      <c r="L71" s="12">
        <v>5420</v>
      </c>
      <c r="M71" s="9">
        <v>7.7970000000000255</v>
      </c>
      <c r="N71" s="38">
        <v>7527</v>
      </c>
      <c r="O71" s="12">
        <v>1765</v>
      </c>
      <c r="P71" s="38">
        <v>21.797000000000025</v>
      </c>
      <c r="Q71" s="38">
        <v>21506</v>
      </c>
      <c r="R71" s="38">
        <v>5420</v>
      </c>
      <c r="S71" s="9">
        <v>8.125</v>
      </c>
      <c r="T71" s="38"/>
      <c r="U71" s="38">
        <v>3231</v>
      </c>
      <c r="V71" s="12">
        <v>1765</v>
      </c>
      <c r="W71" s="9">
        <v>3.2340000000000089</v>
      </c>
      <c r="X71" s="38">
        <v>156</v>
      </c>
      <c r="Y71" s="12">
        <v>600</v>
      </c>
      <c r="AB71" s="9">
        <f t="shared" si="4"/>
        <v>0.10289389067524116</v>
      </c>
      <c r="AC71" s="38">
        <f t="shared" si="5"/>
        <v>0.17064846416382254</v>
      </c>
      <c r="AD71" s="12">
        <f t="shared" si="6"/>
        <v>0.48484848484848486</v>
      </c>
    </row>
    <row r="73" spans="1:30" x14ac:dyDescent="0.3">
      <c r="C73">
        <f>AVERAGE(C42:C71)</f>
        <v>0.78470000000000006</v>
      </c>
      <c r="E73">
        <f>AVERAGE(E42:E71)</f>
        <v>341.86666666666667</v>
      </c>
      <c r="G73">
        <f>AVERAGE(G42:G71)</f>
        <v>4.4299999999999999E-2</v>
      </c>
      <c r="H73">
        <f t="shared" ref="H73:O73" si="7">AVERAGE(H42:H71)</f>
        <v>76</v>
      </c>
      <c r="I73">
        <f t="shared" si="7"/>
        <v>125</v>
      </c>
      <c r="J73">
        <f t="shared" si="7"/>
        <v>34.655233333333328</v>
      </c>
      <c r="K73">
        <f t="shared" si="7"/>
        <v>26752.400000000001</v>
      </c>
      <c r="L73">
        <f t="shared" si="7"/>
        <v>5618</v>
      </c>
      <c r="M73">
        <f t="shared" si="7"/>
        <v>9.8489333333333331</v>
      </c>
      <c r="N73">
        <f t="shared" si="7"/>
        <v>8084.0666666666666</v>
      </c>
      <c r="O73">
        <f t="shared" si="7"/>
        <v>1884.3333333333333</v>
      </c>
      <c r="P73">
        <f>AVERAGE(P42:P71)</f>
        <v>28.013466666666666</v>
      </c>
      <c r="Q73">
        <f>AVERAGE(Q42:Q71)</f>
        <v>22298</v>
      </c>
      <c r="R73">
        <f>AVERAGE(R42:R71)</f>
        <v>5618</v>
      </c>
      <c r="S73">
        <f>AVERAGE(S42:S71)</f>
        <v>10.689033333333333</v>
      </c>
      <c r="U73">
        <f>AVERAGE(U42:U71)</f>
        <v>3629.6666666666665</v>
      </c>
      <c r="V73">
        <f>AVERAGE(V42:V71)</f>
        <v>1884.3333333333333</v>
      </c>
      <c r="W73">
        <f>AVERAGE(W42:W71)</f>
        <v>5.9818000000000007</v>
      </c>
      <c r="X73">
        <f>AVERAGE(X42:X71)</f>
        <v>156</v>
      </c>
      <c r="Y73">
        <f>AVERAGE(Y42:Y71)</f>
        <v>600</v>
      </c>
      <c r="AB73">
        <f>AVERAGE(AB42:AB71)</f>
        <v>7.2555639417971121E-2</v>
      </c>
      <c r="AC73">
        <f>AVERAGE(AC42:AC71)</f>
        <v>0.14794017332362833</v>
      </c>
      <c r="AD73">
        <f>AVERAGE(AD42:AD71)</f>
        <v>0.47375579988986222</v>
      </c>
    </row>
    <row r="74" spans="1:30" x14ac:dyDescent="0.3">
      <c r="P74">
        <f>_xlfn.T.TEST(P42:P71,J42:J71,1,1)</f>
        <v>0.10722494909833796</v>
      </c>
      <c r="S74">
        <f>_xlfn.T.TEST(S42:S71,M42:M71,1,1)</f>
        <v>0.30985877934283024</v>
      </c>
    </row>
    <row r="75" spans="1:30" x14ac:dyDescent="0.3">
      <c r="M75">
        <f>_xlfn.STDEV.S(M42:M71)</f>
        <v>8.7062891732250716</v>
      </c>
      <c r="S75">
        <f>_xlfn.STDEV.S(S42:S71)</f>
        <v>14.008439048839719</v>
      </c>
    </row>
    <row r="77" spans="1:30" x14ac:dyDescent="0.3">
      <c r="A77" s="74" t="s">
        <v>55</v>
      </c>
    </row>
    <row r="78" spans="1:30" ht="15" thickBot="1" x14ac:dyDescent="0.35"/>
    <row r="79" spans="1:30" x14ac:dyDescent="0.3">
      <c r="A79" t="s">
        <v>0</v>
      </c>
      <c r="B79" t="s">
        <v>7</v>
      </c>
      <c r="C79" t="s">
        <v>4</v>
      </c>
      <c r="D79" t="s">
        <v>8</v>
      </c>
      <c r="E79" t="s">
        <v>43</v>
      </c>
      <c r="G79" s="5" t="s">
        <v>48</v>
      </c>
      <c r="H79" s="22" t="s">
        <v>59</v>
      </c>
      <c r="I79" s="6" t="s">
        <v>60</v>
      </c>
      <c r="J79" s="5" t="s">
        <v>49</v>
      </c>
      <c r="K79" s="22" t="s">
        <v>59</v>
      </c>
      <c r="L79" s="6"/>
      <c r="M79" s="5" t="s">
        <v>50</v>
      </c>
      <c r="N79" s="22" t="s">
        <v>59</v>
      </c>
      <c r="O79" s="6" t="s">
        <v>60</v>
      </c>
      <c r="P79" s="22" t="s">
        <v>51</v>
      </c>
      <c r="Q79" s="22" t="s">
        <v>59</v>
      </c>
      <c r="R79" s="22" t="s">
        <v>60</v>
      </c>
      <c r="S79" s="5" t="s">
        <v>52</v>
      </c>
      <c r="T79" s="22"/>
      <c r="U79" s="22" t="s">
        <v>59</v>
      </c>
      <c r="V79" s="6" t="s">
        <v>60</v>
      </c>
      <c r="W79" s="5" t="s">
        <v>56</v>
      </c>
      <c r="X79" s="22" t="s">
        <v>59</v>
      </c>
      <c r="Y79" s="6" t="s">
        <v>60</v>
      </c>
      <c r="AB79" s="5" t="s">
        <v>9</v>
      </c>
      <c r="AC79" s="22" t="s">
        <v>10</v>
      </c>
      <c r="AD79" s="6" t="s">
        <v>18</v>
      </c>
    </row>
    <row r="80" spans="1:30" x14ac:dyDescent="0.3">
      <c r="G80" s="7"/>
      <c r="I80" s="8"/>
      <c r="J80" s="7"/>
      <c r="L80" s="8"/>
      <c r="M80" s="7"/>
      <c r="O80" s="8"/>
      <c r="S80" s="7"/>
      <c r="V80" s="8"/>
      <c r="W80" s="7"/>
      <c r="Y80" s="8"/>
      <c r="AB80" s="7"/>
      <c r="AD80" s="8"/>
    </row>
    <row r="81" spans="1:30" x14ac:dyDescent="0.3">
      <c r="A81">
        <v>601</v>
      </c>
      <c r="B81">
        <v>504</v>
      </c>
      <c r="C81">
        <v>2.5470000000000002</v>
      </c>
      <c r="D81">
        <v>415</v>
      </c>
      <c r="E81">
        <v>585</v>
      </c>
      <c r="G81" s="7">
        <v>4.7E-2</v>
      </c>
      <c r="H81">
        <v>76</v>
      </c>
      <c r="I81" s="8">
        <v>125</v>
      </c>
      <c r="J81" s="7">
        <v>123.875</v>
      </c>
      <c r="K81">
        <v>45074</v>
      </c>
      <c r="L81" s="8">
        <v>9435</v>
      </c>
      <c r="M81" s="7">
        <v>73.061999999999998</v>
      </c>
      <c r="N81">
        <v>13174</v>
      </c>
      <c r="O81" s="8">
        <v>3055</v>
      </c>
      <c r="P81">
        <v>114.985</v>
      </c>
      <c r="Q81">
        <v>37566</v>
      </c>
      <c r="R81">
        <v>9435</v>
      </c>
      <c r="S81" s="7">
        <v>83.625</v>
      </c>
      <c r="U81">
        <v>5666</v>
      </c>
      <c r="V81" s="8">
        <v>3055</v>
      </c>
      <c r="W81" s="7">
        <v>3.5</v>
      </c>
      <c r="X81">
        <v>156</v>
      </c>
      <c r="Y81" s="8">
        <v>600</v>
      </c>
      <c r="AB81" s="7">
        <f t="shared" ref="AB81:AB110" si="8">(A81-E81)/E81</f>
        <v>2.735042735042735E-2</v>
      </c>
      <c r="AC81">
        <f t="shared" ref="AC81:AC110" si="9">(A81-B81)/B81</f>
        <v>0.19246031746031747</v>
      </c>
      <c r="AD81" s="8">
        <f t="shared" ref="AD81:AD110" si="10">(A81-D81)/D81</f>
        <v>0.44819277108433736</v>
      </c>
    </row>
    <row r="82" spans="1:30" x14ac:dyDescent="0.3">
      <c r="A82">
        <v>707</v>
      </c>
      <c r="B82">
        <v>597</v>
      </c>
      <c r="C82">
        <v>0.65700000000000003</v>
      </c>
      <c r="D82">
        <v>418</v>
      </c>
      <c r="E82">
        <v>625</v>
      </c>
      <c r="G82" s="7">
        <v>9.3000000000000013E-2</v>
      </c>
      <c r="H82">
        <v>76</v>
      </c>
      <c r="I82" s="8">
        <v>125</v>
      </c>
      <c r="J82" s="7">
        <v>123.875</v>
      </c>
      <c r="K82">
        <v>43586</v>
      </c>
      <c r="L82" s="8">
        <v>9125</v>
      </c>
      <c r="M82" s="7">
        <v>90.094000000000008</v>
      </c>
      <c r="N82">
        <v>15886</v>
      </c>
      <c r="O82" s="8">
        <v>3585</v>
      </c>
      <c r="P82">
        <v>229.23500000000001</v>
      </c>
      <c r="Q82">
        <v>36326</v>
      </c>
      <c r="R82">
        <v>9125</v>
      </c>
      <c r="S82" s="7">
        <v>126.96899999999999</v>
      </c>
      <c r="U82">
        <v>8626</v>
      </c>
      <c r="V82" s="8">
        <v>3585</v>
      </c>
      <c r="W82" s="7">
        <v>5.9220000000000006</v>
      </c>
      <c r="X82">
        <v>156</v>
      </c>
      <c r="Y82" s="8">
        <v>600</v>
      </c>
      <c r="AB82" s="7">
        <f t="shared" si="8"/>
        <v>0.13120000000000001</v>
      </c>
      <c r="AC82">
        <f t="shared" si="9"/>
        <v>0.18425460636515914</v>
      </c>
      <c r="AD82" s="8">
        <f t="shared" si="10"/>
        <v>0.69138755980861244</v>
      </c>
    </row>
    <row r="83" spans="1:30" x14ac:dyDescent="0.3">
      <c r="A83">
        <v>530</v>
      </c>
      <c r="B83">
        <v>513</v>
      </c>
      <c r="C83">
        <v>0.60899999999999999</v>
      </c>
      <c r="D83">
        <v>408</v>
      </c>
      <c r="E83">
        <v>526</v>
      </c>
      <c r="G83" s="7">
        <v>1.5999999999999986E-2</v>
      </c>
      <c r="H83">
        <v>76</v>
      </c>
      <c r="I83" s="8">
        <v>125</v>
      </c>
      <c r="J83" s="7">
        <v>88.48399999999998</v>
      </c>
      <c r="K83">
        <v>44354</v>
      </c>
      <c r="L83" s="8">
        <v>9285</v>
      </c>
      <c r="M83" s="7">
        <v>3.8119999999999834</v>
      </c>
      <c r="N83">
        <v>11429</v>
      </c>
      <c r="O83" s="8">
        <v>2700</v>
      </c>
      <c r="P83">
        <v>22.25</v>
      </c>
      <c r="Q83">
        <v>36966</v>
      </c>
      <c r="R83">
        <v>9285</v>
      </c>
      <c r="S83" s="7">
        <v>5.046999999999997</v>
      </c>
      <c r="U83">
        <v>4041</v>
      </c>
      <c r="V83" s="8">
        <v>2700</v>
      </c>
      <c r="W83" s="7">
        <v>1.1559999999999988</v>
      </c>
      <c r="X83">
        <v>156</v>
      </c>
      <c r="Y83" s="8">
        <v>600</v>
      </c>
      <c r="AB83" s="7">
        <f t="shared" si="8"/>
        <v>7.6045627376425855E-3</v>
      </c>
      <c r="AC83">
        <f t="shared" si="9"/>
        <v>3.3138401559454189E-2</v>
      </c>
      <c r="AD83" s="8">
        <f t="shared" si="10"/>
        <v>0.29901960784313725</v>
      </c>
    </row>
    <row r="84" spans="1:30" x14ac:dyDescent="0.3">
      <c r="A84">
        <v>608</v>
      </c>
      <c r="B84">
        <v>577</v>
      </c>
      <c r="C84">
        <v>0.67200000000000015</v>
      </c>
      <c r="D84">
        <v>402</v>
      </c>
      <c r="E84">
        <v>579</v>
      </c>
      <c r="G84" s="7">
        <v>6.3E-2</v>
      </c>
      <c r="H84">
        <v>76</v>
      </c>
      <c r="I84" s="8">
        <v>125</v>
      </c>
      <c r="J84" s="7">
        <v>129.96899999999999</v>
      </c>
      <c r="K84">
        <v>43922</v>
      </c>
      <c r="L84" s="8">
        <v>9195</v>
      </c>
      <c r="M84" s="7">
        <v>11.64100000000002</v>
      </c>
      <c r="N84">
        <v>13397</v>
      </c>
      <c r="O84" s="8">
        <v>3090</v>
      </c>
      <c r="P84">
        <v>91.546999999999969</v>
      </c>
      <c r="Q84">
        <v>36606</v>
      </c>
      <c r="R84">
        <v>9195</v>
      </c>
      <c r="S84" s="7">
        <v>19.218000000000018</v>
      </c>
      <c r="U84">
        <v>6081</v>
      </c>
      <c r="V84" s="8">
        <v>3090</v>
      </c>
      <c r="W84" s="7">
        <v>5.2970000000000006</v>
      </c>
      <c r="X84">
        <v>156</v>
      </c>
      <c r="Y84" s="8">
        <v>600</v>
      </c>
      <c r="AB84" s="7">
        <f t="shared" si="8"/>
        <v>5.0086355785837651E-2</v>
      </c>
      <c r="AC84">
        <f t="shared" si="9"/>
        <v>5.3726169844020795E-2</v>
      </c>
      <c r="AD84" s="8">
        <f t="shared" si="10"/>
        <v>0.51243781094527363</v>
      </c>
    </row>
    <row r="85" spans="1:30" x14ac:dyDescent="0.3">
      <c r="A85">
        <v>556</v>
      </c>
      <c r="B85">
        <v>519</v>
      </c>
      <c r="C85">
        <v>0.63999999999999968</v>
      </c>
      <c r="D85">
        <v>403</v>
      </c>
      <c r="E85">
        <v>546</v>
      </c>
      <c r="G85" s="7">
        <v>3.2000000000000001E-2</v>
      </c>
      <c r="H85">
        <v>76</v>
      </c>
      <c r="I85" s="8">
        <v>125</v>
      </c>
      <c r="J85" s="7">
        <v>132.48400000000004</v>
      </c>
      <c r="K85">
        <v>46370</v>
      </c>
      <c r="L85" s="8">
        <v>9705</v>
      </c>
      <c r="M85" s="7">
        <v>11.843999999999994</v>
      </c>
      <c r="N85">
        <v>11995</v>
      </c>
      <c r="O85" s="8">
        <v>2830</v>
      </c>
      <c r="P85">
        <v>40.906000000000006</v>
      </c>
      <c r="Q85">
        <v>38646</v>
      </c>
      <c r="R85">
        <v>9705</v>
      </c>
      <c r="S85" s="7">
        <v>7.578000000000003</v>
      </c>
      <c r="U85">
        <v>4271</v>
      </c>
      <c r="V85" s="8">
        <v>2830</v>
      </c>
      <c r="W85" s="7">
        <v>2.0150000000000006</v>
      </c>
      <c r="X85">
        <v>156</v>
      </c>
      <c r="Y85" s="8">
        <v>600</v>
      </c>
      <c r="AB85" s="7">
        <f t="shared" si="8"/>
        <v>1.8315018315018316E-2</v>
      </c>
      <c r="AC85">
        <f t="shared" si="9"/>
        <v>7.1290944123314062E-2</v>
      </c>
      <c r="AD85" s="8">
        <f t="shared" si="10"/>
        <v>0.37965260545905705</v>
      </c>
    </row>
    <row r="86" spans="1:30" x14ac:dyDescent="0.3">
      <c r="A86">
        <v>611</v>
      </c>
      <c r="B86">
        <v>527</v>
      </c>
      <c r="C86">
        <v>0.78200000000000003</v>
      </c>
      <c r="D86">
        <v>385</v>
      </c>
      <c r="E86">
        <v>594</v>
      </c>
      <c r="G86" s="7">
        <v>3.0999999999999972E-2</v>
      </c>
      <c r="H86">
        <v>76</v>
      </c>
      <c r="I86" s="8">
        <v>125</v>
      </c>
      <c r="J86" s="7">
        <v>80.514999999999986</v>
      </c>
      <c r="K86">
        <v>43418</v>
      </c>
      <c r="L86" s="8">
        <v>9090</v>
      </c>
      <c r="M86" s="7">
        <v>49.343999999999994</v>
      </c>
      <c r="N86">
        <v>13493</v>
      </c>
      <c r="O86" s="8">
        <v>3105</v>
      </c>
      <c r="P86">
        <v>627.327</v>
      </c>
      <c r="Q86">
        <v>36186</v>
      </c>
      <c r="R86">
        <v>9090</v>
      </c>
      <c r="S86" s="7">
        <v>67.968999999999994</v>
      </c>
      <c r="U86">
        <v>6261</v>
      </c>
      <c r="V86" s="8">
        <v>3105</v>
      </c>
      <c r="W86" s="7">
        <v>5.5159999999999982</v>
      </c>
      <c r="X86">
        <v>156</v>
      </c>
      <c r="Y86" s="8">
        <v>600</v>
      </c>
      <c r="AB86" s="7">
        <f t="shared" si="8"/>
        <v>2.8619528619528621E-2</v>
      </c>
      <c r="AC86">
        <f t="shared" si="9"/>
        <v>0.15939278937381404</v>
      </c>
      <c r="AD86" s="8">
        <f t="shared" si="10"/>
        <v>0.58701298701298699</v>
      </c>
    </row>
    <row r="87" spans="1:30" x14ac:dyDescent="0.3">
      <c r="A87">
        <v>691</v>
      </c>
      <c r="B87">
        <v>549</v>
      </c>
      <c r="C87">
        <v>0.81200000000000028</v>
      </c>
      <c r="D87">
        <v>397</v>
      </c>
      <c r="E87">
        <v>623</v>
      </c>
      <c r="G87" s="7">
        <v>6.3E-2</v>
      </c>
      <c r="H87">
        <v>76</v>
      </c>
      <c r="I87" s="8">
        <v>125</v>
      </c>
      <c r="J87" s="7">
        <v>263.01599999999996</v>
      </c>
      <c r="K87">
        <v>45890</v>
      </c>
      <c r="L87" s="8">
        <v>9605</v>
      </c>
      <c r="M87" s="7">
        <v>236.90700000000001</v>
      </c>
      <c r="N87">
        <v>15390</v>
      </c>
      <c r="O87" s="8">
        <v>3505</v>
      </c>
      <c r="P87">
        <v>1170.06</v>
      </c>
      <c r="Q87">
        <v>38246</v>
      </c>
      <c r="R87">
        <v>9605</v>
      </c>
      <c r="S87" s="7">
        <v>94.73399999999998</v>
      </c>
      <c r="U87">
        <v>7746</v>
      </c>
      <c r="V87" s="8">
        <v>3505</v>
      </c>
      <c r="W87" s="7">
        <v>7.782</v>
      </c>
      <c r="X87">
        <v>156</v>
      </c>
      <c r="Y87" s="8">
        <v>600</v>
      </c>
      <c r="AB87" s="7">
        <f t="shared" si="8"/>
        <v>0.10914927768860354</v>
      </c>
      <c r="AC87">
        <f t="shared" si="9"/>
        <v>0.25865209471766848</v>
      </c>
      <c r="AD87" s="8">
        <f t="shared" si="10"/>
        <v>0.74055415617128462</v>
      </c>
    </row>
    <row r="88" spans="1:30" x14ac:dyDescent="0.3">
      <c r="A88">
        <v>597</v>
      </c>
      <c r="B88">
        <v>523</v>
      </c>
      <c r="C88">
        <v>0.76600000000000001</v>
      </c>
      <c r="D88">
        <v>385</v>
      </c>
      <c r="E88">
        <v>551</v>
      </c>
      <c r="G88" s="7">
        <v>4.7000000000000042E-2</v>
      </c>
      <c r="H88">
        <v>76</v>
      </c>
      <c r="I88" s="8">
        <v>125</v>
      </c>
      <c r="J88" s="7">
        <v>125.15199999999993</v>
      </c>
      <c r="K88">
        <v>43130</v>
      </c>
      <c r="L88" s="8">
        <v>9030</v>
      </c>
      <c r="M88" s="7">
        <v>12.031000000000006</v>
      </c>
      <c r="N88">
        <v>13155</v>
      </c>
      <c r="O88" s="8">
        <v>3035</v>
      </c>
      <c r="P88">
        <v>47.099999999999909</v>
      </c>
      <c r="Q88">
        <v>35946</v>
      </c>
      <c r="R88">
        <v>9030</v>
      </c>
      <c r="S88" s="7">
        <v>13.125</v>
      </c>
      <c r="U88">
        <v>5971</v>
      </c>
      <c r="V88" s="8">
        <v>3035</v>
      </c>
      <c r="W88" s="7">
        <v>4.3279999999999994</v>
      </c>
      <c r="X88">
        <v>156</v>
      </c>
      <c r="Y88" s="8">
        <v>600</v>
      </c>
      <c r="AB88" s="7">
        <f t="shared" si="8"/>
        <v>8.3484573502722328E-2</v>
      </c>
      <c r="AC88">
        <f t="shared" si="9"/>
        <v>0.14149139579349904</v>
      </c>
      <c r="AD88" s="8">
        <f t="shared" si="10"/>
        <v>0.55064935064935061</v>
      </c>
    </row>
    <row r="89" spans="1:30" x14ac:dyDescent="0.3">
      <c r="A89">
        <v>548</v>
      </c>
      <c r="B89">
        <v>538</v>
      </c>
      <c r="C89">
        <v>0.79699999999999971</v>
      </c>
      <c r="D89">
        <v>407</v>
      </c>
      <c r="E89">
        <v>543</v>
      </c>
      <c r="G89" s="7">
        <v>3.0999999999999972E-2</v>
      </c>
      <c r="H89">
        <v>76</v>
      </c>
      <c r="I89" s="8">
        <v>125</v>
      </c>
      <c r="J89" s="7">
        <v>30.110000000000127</v>
      </c>
      <c r="K89">
        <v>44858</v>
      </c>
      <c r="L89" s="8">
        <v>9390</v>
      </c>
      <c r="M89" s="7">
        <v>5.2339999999999804</v>
      </c>
      <c r="N89">
        <v>11858</v>
      </c>
      <c r="O89" s="8">
        <v>2790</v>
      </c>
      <c r="P89">
        <v>30.0300000000002</v>
      </c>
      <c r="Q89">
        <v>37386</v>
      </c>
      <c r="R89">
        <v>9390</v>
      </c>
      <c r="S89" s="7">
        <v>4.4370000000000118</v>
      </c>
      <c r="U89">
        <v>4386</v>
      </c>
      <c r="V89" s="8">
        <v>2790</v>
      </c>
      <c r="W89" s="7">
        <v>3.0620000000000047</v>
      </c>
      <c r="X89">
        <v>156</v>
      </c>
      <c r="Y89" s="8">
        <v>600</v>
      </c>
      <c r="AB89" s="7">
        <f t="shared" si="8"/>
        <v>9.2081031307550652E-3</v>
      </c>
      <c r="AC89">
        <f t="shared" si="9"/>
        <v>1.858736059479554E-2</v>
      </c>
      <c r="AD89" s="8">
        <f t="shared" si="10"/>
        <v>0.34643734643734642</v>
      </c>
    </row>
    <row r="90" spans="1:30" x14ac:dyDescent="0.3">
      <c r="A90">
        <v>608</v>
      </c>
      <c r="B90">
        <v>561</v>
      </c>
      <c r="C90">
        <v>0.7970000000000006</v>
      </c>
      <c r="D90">
        <v>410</v>
      </c>
      <c r="E90">
        <v>580</v>
      </c>
      <c r="G90" s="7">
        <v>3.1000000000000028E-2</v>
      </c>
      <c r="H90">
        <v>76</v>
      </c>
      <c r="I90" s="8">
        <v>125</v>
      </c>
      <c r="J90" s="7">
        <v>71.769999999999982</v>
      </c>
      <c r="K90">
        <v>45170</v>
      </c>
      <c r="L90" s="8">
        <v>9455</v>
      </c>
      <c r="M90" s="7">
        <v>42.500000000000057</v>
      </c>
      <c r="N90">
        <v>13345</v>
      </c>
      <c r="O90" s="8">
        <v>3090</v>
      </c>
      <c r="P90">
        <v>36.090000000000146</v>
      </c>
      <c r="Q90">
        <v>37646</v>
      </c>
      <c r="R90">
        <v>9455</v>
      </c>
      <c r="S90" s="7">
        <v>12.51600000000002</v>
      </c>
      <c r="U90">
        <v>5821</v>
      </c>
      <c r="V90" s="8">
        <v>3090</v>
      </c>
      <c r="W90" s="7">
        <v>3.875</v>
      </c>
      <c r="X90">
        <v>156</v>
      </c>
      <c r="Y90" s="8">
        <v>600</v>
      </c>
      <c r="AB90" s="7">
        <f t="shared" si="8"/>
        <v>4.8275862068965517E-2</v>
      </c>
      <c r="AC90">
        <f t="shared" si="9"/>
        <v>8.3778966131907315E-2</v>
      </c>
      <c r="AD90" s="8">
        <f t="shared" si="10"/>
        <v>0.48292682926829267</v>
      </c>
    </row>
    <row r="91" spans="1:30" x14ac:dyDescent="0.3">
      <c r="A91">
        <v>573</v>
      </c>
      <c r="B91">
        <v>521</v>
      </c>
      <c r="C91">
        <v>0.78099999999999881</v>
      </c>
      <c r="D91">
        <v>413</v>
      </c>
      <c r="E91">
        <v>536</v>
      </c>
      <c r="G91" s="7">
        <v>4.6999999999999986E-2</v>
      </c>
      <c r="H91">
        <v>76</v>
      </c>
      <c r="I91" s="8">
        <v>125</v>
      </c>
      <c r="J91" s="7">
        <v>55.619999999999891</v>
      </c>
      <c r="K91">
        <v>46106</v>
      </c>
      <c r="L91" s="8">
        <v>9650</v>
      </c>
      <c r="M91" s="7">
        <v>8.125</v>
      </c>
      <c r="N91">
        <v>12431</v>
      </c>
      <c r="O91" s="8">
        <v>2915</v>
      </c>
      <c r="P91">
        <v>30.489999999999782</v>
      </c>
      <c r="Q91">
        <v>38426</v>
      </c>
      <c r="R91">
        <v>9650</v>
      </c>
      <c r="S91" s="7">
        <v>11.656000000000006</v>
      </c>
      <c r="U91">
        <v>4751</v>
      </c>
      <c r="V91" s="8">
        <v>2915</v>
      </c>
      <c r="W91" s="7">
        <v>3.4679999999999964</v>
      </c>
      <c r="X91">
        <v>156</v>
      </c>
      <c r="Y91" s="8">
        <v>600</v>
      </c>
      <c r="AB91" s="7">
        <f t="shared" si="8"/>
        <v>6.9029850746268662E-2</v>
      </c>
      <c r="AC91">
        <f t="shared" si="9"/>
        <v>9.9808061420345484E-2</v>
      </c>
      <c r="AD91" s="8">
        <f t="shared" si="10"/>
        <v>0.38740920096852299</v>
      </c>
    </row>
    <row r="92" spans="1:30" x14ac:dyDescent="0.3">
      <c r="A92">
        <v>629</v>
      </c>
      <c r="B92">
        <v>563</v>
      </c>
      <c r="C92">
        <v>0.7970000000000006</v>
      </c>
      <c r="D92">
        <v>392</v>
      </c>
      <c r="E92">
        <v>584</v>
      </c>
      <c r="G92" s="7">
        <v>3.2000000000000028E-2</v>
      </c>
      <c r="H92">
        <v>76</v>
      </c>
      <c r="I92" s="8">
        <v>125</v>
      </c>
      <c r="J92" s="7">
        <v>2067.33</v>
      </c>
      <c r="K92">
        <v>44618</v>
      </c>
      <c r="L92" s="8">
        <v>9340</v>
      </c>
      <c r="M92" s="7">
        <v>22.375</v>
      </c>
      <c r="N92">
        <v>13893</v>
      </c>
      <c r="O92" s="8">
        <v>3195</v>
      </c>
      <c r="P92">
        <v>40</v>
      </c>
      <c r="Q92">
        <v>37186</v>
      </c>
      <c r="R92">
        <v>9340</v>
      </c>
      <c r="S92" s="7">
        <v>49.562999999999988</v>
      </c>
      <c r="U92">
        <v>6461</v>
      </c>
      <c r="V92" s="8">
        <v>3195</v>
      </c>
      <c r="W92" s="7">
        <v>7.125</v>
      </c>
      <c r="X92">
        <v>156</v>
      </c>
      <c r="Y92" s="8">
        <v>600</v>
      </c>
      <c r="AB92" s="7">
        <f t="shared" si="8"/>
        <v>7.7054794520547948E-2</v>
      </c>
      <c r="AC92">
        <f t="shared" si="9"/>
        <v>0.11722912966252221</v>
      </c>
      <c r="AD92" s="8">
        <f t="shared" si="10"/>
        <v>0.60459183673469385</v>
      </c>
    </row>
    <row r="93" spans="1:30" x14ac:dyDescent="0.3">
      <c r="A93">
        <v>608</v>
      </c>
      <c r="B93">
        <v>591</v>
      </c>
      <c r="C93">
        <v>0.7970000000000006</v>
      </c>
      <c r="D93">
        <v>389</v>
      </c>
      <c r="E93">
        <v>604</v>
      </c>
      <c r="G93" s="7">
        <v>4.6999999999999931E-2</v>
      </c>
      <c r="H93">
        <v>76</v>
      </c>
      <c r="I93" s="8">
        <v>125</v>
      </c>
      <c r="J93" s="7">
        <v>997.67000000000007</v>
      </c>
      <c r="K93">
        <v>43874</v>
      </c>
      <c r="L93" s="8">
        <v>9185</v>
      </c>
      <c r="M93" s="7">
        <v>43.342999999999961</v>
      </c>
      <c r="N93">
        <v>13399</v>
      </c>
      <c r="O93" s="8">
        <v>3090</v>
      </c>
      <c r="P93">
        <v>165.84000000000015</v>
      </c>
      <c r="Q93">
        <v>36566</v>
      </c>
      <c r="R93">
        <v>9185</v>
      </c>
      <c r="S93" s="7">
        <v>41.327999999999975</v>
      </c>
      <c r="U93">
        <v>6091</v>
      </c>
      <c r="V93" s="8">
        <v>3090</v>
      </c>
      <c r="W93" s="7">
        <v>7.0630000000000024</v>
      </c>
      <c r="X93">
        <v>156</v>
      </c>
      <c r="Y93" s="8">
        <v>600</v>
      </c>
      <c r="AB93" s="7">
        <f t="shared" si="8"/>
        <v>6.6225165562913907E-3</v>
      </c>
      <c r="AC93">
        <f t="shared" si="9"/>
        <v>2.8764805414551606E-2</v>
      </c>
      <c r="AD93" s="8">
        <f t="shared" si="10"/>
        <v>0.56298200514138819</v>
      </c>
    </row>
    <row r="94" spans="1:30" x14ac:dyDescent="0.3">
      <c r="A94">
        <v>613</v>
      </c>
      <c r="B94">
        <v>505</v>
      </c>
      <c r="C94">
        <v>0.84299999999999997</v>
      </c>
      <c r="D94">
        <v>397</v>
      </c>
      <c r="E94">
        <v>526</v>
      </c>
      <c r="G94" s="7">
        <v>3.2000000000000028E-2</v>
      </c>
      <c r="H94">
        <v>76</v>
      </c>
      <c r="I94" s="8">
        <v>125</v>
      </c>
      <c r="J94" s="7">
        <v>373.32999999999993</v>
      </c>
      <c r="K94">
        <v>45218</v>
      </c>
      <c r="L94" s="8">
        <v>9465</v>
      </c>
      <c r="M94" s="7">
        <v>24.25</v>
      </c>
      <c r="N94">
        <v>13468</v>
      </c>
      <c r="O94" s="8">
        <v>3115</v>
      </c>
      <c r="P94">
        <v>342.08999999999969</v>
      </c>
      <c r="Q94">
        <v>37686</v>
      </c>
      <c r="R94">
        <v>9465</v>
      </c>
      <c r="S94" s="7">
        <v>13.625</v>
      </c>
      <c r="U94">
        <v>5936</v>
      </c>
      <c r="V94" s="8">
        <v>3115</v>
      </c>
      <c r="W94" s="7">
        <v>1.7340000000000018</v>
      </c>
      <c r="X94">
        <v>156</v>
      </c>
      <c r="Y94" s="8">
        <v>600</v>
      </c>
      <c r="AB94" s="7">
        <f t="shared" si="8"/>
        <v>0.16539923954372623</v>
      </c>
      <c r="AC94">
        <f t="shared" si="9"/>
        <v>0.21386138613861386</v>
      </c>
      <c r="AD94" s="8">
        <f t="shared" si="10"/>
        <v>0.54408060453400509</v>
      </c>
    </row>
    <row r="95" spans="1:30" x14ac:dyDescent="0.3">
      <c r="A95">
        <v>616</v>
      </c>
      <c r="B95">
        <v>566</v>
      </c>
      <c r="C95">
        <v>0.85999999999999943</v>
      </c>
      <c r="D95">
        <v>410</v>
      </c>
      <c r="E95">
        <v>600</v>
      </c>
      <c r="G95" s="7">
        <v>4.7000000000000042E-2</v>
      </c>
      <c r="H95">
        <v>76</v>
      </c>
      <c r="I95" s="8">
        <v>125</v>
      </c>
      <c r="J95" s="7">
        <v>56.110000000000582</v>
      </c>
      <c r="K95">
        <v>44786</v>
      </c>
      <c r="L95" s="8">
        <v>9375</v>
      </c>
      <c r="M95" s="7">
        <v>21.780999999999949</v>
      </c>
      <c r="N95">
        <v>13561</v>
      </c>
      <c r="O95" s="8">
        <v>3130</v>
      </c>
      <c r="P95">
        <v>1230.48</v>
      </c>
      <c r="Q95">
        <v>37326</v>
      </c>
      <c r="R95">
        <v>9375</v>
      </c>
      <c r="S95" s="7">
        <v>41.437999999999988</v>
      </c>
      <c r="U95">
        <v>6101</v>
      </c>
      <c r="V95" s="8">
        <v>3130</v>
      </c>
      <c r="W95" s="7">
        <v>6.25</v>
      </c>
      <c r="X95">
        <v>156</v>
      </c>
      <c r="Y95" s="8">
        <v>600</v>
      </c>
      <c r="AB95" s="7">
        <f t="shared" si="8"/>
        <v>2.6666666666666668E-2</v>
      </c>
      <c r="AC95">
        <f t="shared" si="9"/>
        <v>8.8339222614840993E-2</v>
      </c>
      <c r="AD95" s="8">
        <f t="shared" si="10"/>
        <v>0.5024390243902439</v>
      </c>
    </row>
    <row r="96" spans="1:30" x14ac:dyDescent="0.3">
      <c r="A96">
        <v>639</v>
      </c>
      <c r="B96">
        <v>550</v>
      </c>
      <c r="C96">
        <v>0.7970000000000006</v>
      </c>
      <c r="D96">
        <v>408</v>
      </c>
      <c r="E96">
        <v>611</v>
      </c>
      <c r="G96" s="7">
        <v>6.2999999999999945E-2</v>
      </c>
      <c r="H96">
        <v>76</v>
      </c>
      <c r="I96" s="8">
        <v>125</v>
      </c>
      <c r="J96" s="7">
        <v>178.41999999999916</v>
      </c>
      <c r="K96">
        <v>46610</v>
      </c>
      <c r="L96" s="8">
        <v>9755</v>
      </c>
      <c r="M96" s="7">
        <v>43.485000000000014</v>
      </c>
      <c r="N96">
        <v>14060</v>
      </c>
      <c r="O96" s="8">
        <v>3245</v>
      </c>
      <c r="P96">
        <v>159.85999999999967</v>
      </c>
      <c r="Q96">
        <v>38846</v>
      </c>
      <c r="R96">
        <v>9755</v>
      </c>
      <c r="S96" s="7">
        <v>55.327999999999975</v>
      </c>
      <c r="U96">
        <v>6296</v>
      </c>
      <c r="V96" s="8">
        <v>3245</v>
      </c>
      <c r="W96" s="7">
        <v>4.1880000000000024</v>
      </c>
      <c r="X96">
        <v>156</v>
      </c>
      <c r="Y96" s="8">
        <v>600</v>
      </c>
      <c r="AB96" s="7">
        <f t="shared" si="8"/>
        <v>4.5826513911620292E-2</v>
      </c>
      <c r="AC96">
        <f t="shared" si="9"/>
        <v>0.16181818181818181</v>
      </c>
      <c r="AD96" s="8">
        <f t="shared" si="10"/>
        <v>0.56617647058823528</v>
      </c>
    </row>
    <row r="97" spans="1:30" x14ac:dyDescent="0.3">
      <c r="A97">
        <v>532</v>
      </c>
      <c r="B97">
        <v>479</v>
      </c>
      <c r="C97">
        <v>0.81199999999999939</v>
      </c>
      <c r="D97">
        <v>374</v>
      </c>
      <c r="E97">
        <v>517</v>
      </c>
      <c r="G97" s="7">
        <v>3.1000000000000028E-2</v>
      </c>
      <c r="H97">
        <v>76</v>
      </c>
      <c r="I97" s="8">
        <v>125</v>
      </c>
      <c r="J97" s="7">
        <v>48.110000000000582</v>
      </c>
      <c r="K97">
        <v>42986</v>
      </c>
      <c r="L97" s="8">
        <v>9000</v>
      </c>
      <c r="M97" s="7">
        <v>20.547000000000025</v>
      </c>
      <c r="N97">
        <v>11536</v>
      </c>
      <c r="O97" s="8">
        <v>2710</v>
      </c>
      <c r="P97">
        <v>37.520000000000437</v>
      </c>
      <c r="Q97">
        <v>35826</v>
      </c>
      <c r="R97">
        <v>9000</v>
      </c>
      <c r="S97" s="7">
        <v>10.969000000000051</v>
      </c>
      <c r="U97">
        <v>4376</v>
      </c>
      <c r="V97" s="8">
        <v>2710</v>
      </c>
      <c r="W97" s="7">
        <v>4.5779999999999887</v>
      </c>
      <c r="X97">
        <v>156</v>
      </c>
      <c r="Y97" s="8">
        <v>600</v>
      </c>
      <c r="AB97" s="7">
        <f t="shared" si="8"/>
        <v>2.9013539651837523E-2</v>
      </c>
      <c r="AC97">
        <f t="shared" si="9"/>
        <v>0.11064718162839249</v>
      </c>
      <c r="AD97" s="8">
        <f t="shared" si="10"/>
        <v>0.42245989304812837</v>
      </c>
    </row>
    <row r="98" spans="1:30" x14ac:dyDescent="0.3">
      <c r="A98">
        <v>568</v>
      </c>
      <c r="B98">
        <v>486</v>
      </c>
      <c r="C98">
        <v>0.84399999999999942</v>
      </c>
      <c r="D98">
        <v>376</v>
      </c>
      <c r="E98">
        <v>495</v>
      </c>
      <c r="G98" s="7">
        <v>4.7000000000000042E-2</v>
      </c>
      <c r="H98">
        <v>76</v>
      </c>
      <c r="I98" s="8">
        <v>125</v>
      </c>
      <c r="J98" s="7">
        <v>79.359999999999673</v>
      </c>
      <c r="K98">
        <v>42986</v>
      </c>
      <c r="L98" s="8">
        <v>9000</v>
      </c>
      <c r="M98" s="7">
        <v>19.860000000000014</v>
      </c>
      <c r="N98">
        <v>12436</v>
      </c>
      <c r="O98" s="8">
        <v>2890</v>
      </c>
      <c r="P98">
        <v>36.179999999999382</v>
      </c>
      <c r="Q98">
        <v>35826</v>
      </c>
      <c r="R98">
        <v>9000</v>
      </c>
      <c r="S98" s="7">
        <v>5.4210000000000491</v>
      </c>
      <c r="U98">
        <v>5276</v>
      </c>
      <c r="V98" s="8">
        <v>2890</v>
      </c>
      <c r="W98" s="7">
        <v>3.0150000000000006</v>
      </c>
      <c r="X98">
        <v>156</v>
      </c>
      <c r="Y98" s="8">
        <v>600</v>
      </c>
      <c r="AB98" s="7">
        <f t="shared" si="8"/>
        <v>0.14747474747474748</v>
      </c>
      <c r="AC98">
        <f t="shared" si="9"/>
        <v>0.16872427983539096</v>
      </c>
      <c r="AD98" s="8">
        <f t="shared" si="10"/>
        <v>0.51063829787234039</v>
      </c>
    </row>
    <row r="99" spans="1:30" x14ac:dyDescent="0.3">
      <c r="A99">
        <v>558</v>
      </c>
      <c r="B99">
        <v>500</v>
      </c>
      <c r="C99">
        <v>0.81200000000000117</v>
      </c>
      <c r="D99">
        <v>411</v>
      </c>
      <c r="E99">
        <v>551</v>
      </c>
      <c r="G99" s="7">
        <v>3.0999999999999917E-2</v>
      </c>
      <c r="H99">
        <v>76</v>
      </c>
      <c r="I99" s="8">
        <v>125</v>
      </c>
      <c r="J99" s="7">
        <v>97.550000000000182</v>
      </c>
      <c r="K99">
        <v>45170</v>
      </c>
      <c r="L99" s="8">
        <v>9455</v>
      </c>
      <c r="M99" s="7">
        <v>11.343999999999937</v>
      </c>
      <c r="N99">
        <v>12095</v>
      </c>
      <c r="O99" s="8">
        <v>2840</v>
      </c>
      <c r="P99">
        <v>39.430000000000291</v>
      </c>
      <c r="Q99">
        <v>37646</v>
      </c>
      <c r="R99">
        <v>9455</v>
      </c>
      <c r="S99" s="7">
        <v>11.875</v>
      </c>
      <c r="U99">
        <v>4571</v>
      </c>
      <c r="V99" s="8">
        <v>2840</v>
      </c>
      <c r="W99" s="7">
        <v>2.2040000000000077</v>
      </c>
      <c r="X99">
        <v>156</v>
      </c>
      <c r="Y99" s="8">
        <v>600</v>
      </c>
      <c r="AB99" s="7">
        <f t="shared" si="8"/>
        <v>1.2704174228675136E-2</v>
      </c>
      <c r="AC99">
        <f t="shared" si="9"/>
        <v>0.11600000000000001</v>
      </c>
      <c r="AD99" s="8">
        <f t="shared" si="10"/>
        <v>0.35766423357664234</v>
      </c>
    </row>
    <row r="100" spans="1:30" x14ac:dyDescent="0.3">
      <c r="A100">
        <v>705</v>
      </c>
      <c r="B100">
        <v>613</v>
      </c>
      <c r="C100">
        <v>0.7970000000000006</v>
      </c>
      <c r="D100">
        <v>421</v>
      </c>
      <c r="E100">
        <v>613</v>
      </c>
      <c r="G100" s="7">
        <v>4.7000000000000042E-2</v>
      </c>
      <c r="H100">
        <v>76</v>
      </c>
      <c r="I100" s="8">
        <v>125</v>
      </c>
      <c r="J100" s="7">
        <v>67.670000000000073</v>
      </c>
      <c r="K100">
        <v>45482</v>
      </c>
      <c r="L100" s="8">
        <v>9520</v>
      </c>
      <c r="M100" s="7">
        <v>16.984000000000037</v>
      </c>
      <c r="N100">
        <v>15757</v>
      </c>
      <c r="O100" s="8">
        <v>3575</v>
      </c>
      <c r="P100">
        <v>34.590000000000146</v>
      </c>
      <c r="Q100">
        <v>37906</v>
      </c>
      <c r="R100">
        <v>9520</v>
      </c>
      <c r="S100" s="7">
        <v>30.421999999999912</v>
      </c>
      <c r="U100">
        <v>8181</v>
      </c>
      <c r="V100" s="8">
        <v>3575</v>
      </c>
      <c r="W100" s="7">
        <v>16.046999999999997</v>
      </c>
      <c r="X100">
        <v>156</v>
      </c>
      <c r="Y100" s="8">
        <v>600</v>
      </c>
      <c r="AB100" s="7">
        <f t="shared" si="8"/>
        <v>0.1500815660685155</v>
      </c>
      <c r="AC100">
        <f t="shared" si="9"/>
        <v>0.1500815660685155</v>
      </c>
      <c r="AD100" s="8">
        <f t="shared" si="10"/>
        <v>0.67458432304038007</v>
      </c>
    </row>
    <row r="101" spans="1:30" x14ac:dyDescent="0.3">
      <c r="A101">
        <v>568</v>
      </c>
      <c r="B101">
        <v>494</v>
      </c>
      <c r="C101">
        <v>0.8279999999999994</v>
      </c>
      <c r="D101">
        <v>410</v>
      </c>
      <c r="E101">
        <v>562</v>
      </c>
      <c r="G101" s="7">
        <v>3.2000000000000028E-2</v>
      </c>
      <c r="H101">
        <v>76</v>
      </c>
      <c r="I101" s="8">
        <v>125</v>
      </c>
      <c r="J101" s="7">
        <v>107.85999999999967</v>
      </c>
      <c r="K101">
        <v>46106</v>
      </c>
      <c r="L101" s="8">
        <v>9650</v>
      </c>
      <c r="M101" s="7">
        <v>10.969000000000051</v>
      </c>
      <c r="N101">
        <v>12306</v>
      </c>
      <c r="O101" s="8">
        <v>2890</v>
      </c>
      <c r="P101">
        <v>68.579999999999927</v>
      </c>
      <c r="Q101">
        <v>38426</v>
      </c>
      <c r="R101">
        <v>9650</v>
      </c>
      <c r="S101" s="7">
        <v>11.75</v>
      </c>
      <c r="U101">
        <v>4626</v>
      </c>
      <c r="V101" s="8">
        <v>2890</v>
      </c>
      <c r="W101" s="7">
        <v>2.671999999999997</v>
      </c>
      <c r="X101">
        <v>156</v>
      </c>
      <c r="Y101" s="8">
        <v>600</v>
      </c>
      <c r="AB101" s="7">
        <f t="shared" si="8"/>
        <v>1.0676156583629894E-2</v>
      </c>
      <c r="AC101">
        <f t="shared" si="9"/>
        <v>0.14979757085020243</v>
      </c>
      <c r="AD101" s="8">
        <f t="shared" si="10"/>
        <v>0.38536585365853659</v>
      </c>
    </row>
    <row r="102" spans="1:30" x14ac:dyDescent="0.3">
      <c r="A102">
        <v>573</v>
      </c>
      <c r="B102">
        <v>510</v>
      </c>
      <c r="C102">
        <v>0.81299999999999883</v>
      </c>
      <c r="D102">
        <v>405</v>
      </c>
      <c r="E102">
        <v>573</v>
      </c>
      <c r="G102" s="7">
        <v>3.0999999999999917E-2</v>
      </c>
      <c r="H102">
        <v>76</v>
      </c>
      <c r="I102" s="8">
        <v>125</v>
      </c>
      <c r="J102" s="7">
        <v>2797.0300000000007</v>
      </c>
      <c r="K102">
        <v>45554</v>
      </c>
      <c r="L102" s="8">
        <v>9535</v>
      </c>
      <c r="M102" s="7">
        <v>23.812000000000012</v>
      </c>
      <c r="N102">
        <v>12454</v>
      </c>
      <c r="O102" s="8">
        <v>2915</v>
      </c>
      <c r="P102">
        <v>527.51000000000022</v>
      </c>
      <c r="Q102">
        <v>37966</v>
      </c>
      <c r="R102">
        <v>9535</v>
      </c>
      <c r="S102" s="7">
        <v>14.187000000000012</v>
      </c>
      <c r="U102">
        <v>4866</v>
      </c>
      <c r="V102" s="8">
        <v>2915</v>
      </c>
      <c r="W102" s="7">
        <v>3.328000000000003</v>
      </c>
      <c r="X102">
        <v>156</v>
      </c>
      <c r="Y102" s="8">
        <v>600</v>
      </c>
      <c r="AB102" s="7">
        <f t="shared" si="8"/>
        <v>0</v>
      </c>
      <c r="AC102">
        <f t="shared" si="9"/>
        <v>0.12352941176470589</v>
      </c>
      <c r="AD102" s="8">
        <f t="shared" si="10"/>
        <v>0.4148148148148148</v>
      </c>
    </row>
    <row r="103" spans="1:30" x14ac:dyDescent="0.3">
      <c r="A103">
        <v>613</v>
      </c>
      <c r="B103">
        <v>575</v>
      </c>
      <c r="C103">
        <v>0.8279999999999994</v>
      </c>
      <c r="D103">
        <v>396</v>
      </c>
      <c r="E103">
        <v>576</v>
      </c>
      <c r="G103" s="7">
        <v>4.7000000000000042E-2</v>
      </c>
      <c r="H103">
        <v>76</v>
      </c>
      <c r="I103" s="8">
        <v>125</v>
      </c>
      <c r="J103" s="7">
        <v>500.41999999999916</v>
      </c>
      <c r="K103">
        <v>44138</v>
      </c>
      <c r="L103" s="8">
        <v>9240</v>
      </c>
      <c r="M103" s="7">
        <v>8.3439999999999372</v>
      </c>
      <c r="N103">
        <v>13513</v>
      </c>
      <c r="O103" s="8">
        <v>3115</v>
      </c>
      <c r="P103">
        <v>264.82999999999902</v>
      </c>
      <c r="Q103">
        <v>36786</v>
      </c>
      <c r="R103">
        <v>9240</v>
      </c>
      <c r="S103" s="7">
        <v>7.1560000000000628</v>
      </c>
      <c r="U103">
        <v>6161</v>
      </c>
      <c r="V103" s="8">
        <v>3115</v>
      </c>
      <c r="W103" s="7">
        <v>5.5310000000000059</v>
      </c>
      <c r="X103">
        <v>156</v>
      </c>
      <c r="Y103" s="8">
        <v>600</v>
      </c>
      <c r="AB103" s="7">
        <f t="shared" si="8"/>
        <v>6.4236111111111105E-2</v>
      </c>
      <c r="AC103">
        <f t="shared" si="9"/>
        <v>6.6086956521739126E-2</v>
      </c>
      <c r="AD103" s="8">
        <f t="shared" si="10"/>
        <v>0.54797979797979801</v>
      </c>
    </row>
    <row r="104" spans="1:30" x14ac:dyDescent="0.3">
      <c r="A104">
        <v>580</v>
      </c>
      <c r="B104">
        <v>506</v>
      </c>
      <c r="C104">
        <v>0.7970000000000006</v>
      </c>
      <c r="D104">
        <v>395</v>
      </c>
      <c r="E104">
        <v>542</v>
      </c>
      <c r="G104" s="7">
        <v>6.2000000000000055E-2</v>
      </c>
      <c r="H104">
        <v>76</v>
      </c>
      <c r="I104" s="8">
        <v>125</v>
      </c>
      <c r="J104" s="7">
        <v>315.15999999999985</v>
      </c>
      <c r="K104">
        <v>45026</v>
      </c>
      <c r="L104" s="8">
        <v>9425</v>
      </c>
      <c r="M104" s="7">
        <v>7.4690000000000509</v>
      </c>
      <c r="N104">
        <v>12651</v>
      </c>
      <c r="O104" s="8">
        <v>2950</v>
      </c>
      <c r="P104">
        <v>250.70000000000073</v>
      </c>
      <c r="Q104">
        <v>37526</v>
      </c>
      <c r="R104">
        <v>9425</v>
      </c>
      <c r="S104" s="7">
        <v>7.7809999999999491</v>
      </c>
      <c r="U104">
        <v>5151</v>
      </c>
      <c r="V104" s="8">
        <v>2950</v>
      </c>
      <c r="W104" s="7">
        <v>3.5</v>
      </c>
      <c r="X104">
        <v>156</v>
      </c>
      <c r="Y104" s="8">
        <v>600</v>
      </c>
      <c r="AB104" s="7">
        <f t="shared" si="8"/>
        <v>7.0110701107011064E-2</v>
      </c>
      <c r="AC104">
        <f t="shared" si="9"/>
        <v>0.14624505928853754</v>
      </c>
      <c r="AD104" s="8">
        <f t="shared" si="10"/>
        <v>0.46835443037974683</v>
      </c>
    </row>
    <row r="105" spans="1:30" x14ac:dyDescent="0.3">
      <c r="A105">
        <v>548</v>
      </c>
      <c r="B105">
        <v>469</v>
      </c>
      <c r="C105">
        <v>0.8279999999999994</v>
      </c>
      <c r="D105">
        <v>383</v>
      </c>
      <c r="E105">
        <v>528</v>
      </c>
      <c r="G105" s="7">
        <v>3.2000000000000028E-2</v>
      </c>
      <c r="H105">
        <v>76</v>
      </c>
      <c r="I105" s="8">
        <v>125</v>
      </c>
      <c r="J105" s="7">
        <v>1460.9099999999999</v>
      </c>
      <c r="K105">
        <v>44114</v>
      </c>
      <c r="L105" s="8">
        <v>9235</v>
      </c>
      <c r="M105" s="7">
        <v>10.360000000000014</v>
      </c>
      <c r="N105">
        <v>11889</v>
      </c>
      <c r="O105" s="8">
        <v>2790</v>
      </c>
      <c r="P105">
        <v>434.20999999999913</v>
      </c>
      <c r="Q105">
        <v>36766</v>
      </c>
      <c r="R105">
        <v>9235</v>
      </c>
      <c r="S105" s="7">
        <v>10.092999999999961</v>
      </c>
      <c r="U105">
        <v>4541</v>
      </c>
      <c r="V105" s="8">
        <v>2790</v>
      </c>
      <c r="W105" s="7">
        <v>1.921999999999997</v>
      </c>
      <c r="X105">
        <v>156</v>
      </c>
      <c r="Y105" s="8">
        <v>600</v>
      </c>
      <c r="AB105" s="7">
        <f t="shared" si="8"/>
        <v>3.787878787878788E-2</v>
      </c>
      <c r="AC105">
        <f t="shared" si="9"/>
        <v>0.16844349680170576</v>
      </c>
      <c r="AD105" s="8">
        <f t="shared" si="10"/>
        <v>0.43080939947780678</v>
      </c>
    </row>
    <row r="106" spans="1:30" x14ac:dyDescent="0.3">
      <c r="A106">
        <v>610</v>
      </c>
      <c r="B106">
        <v>529</v>
      </c>
      <c r="C106">
        <v>0.85900000000000176</v>
      </c>
      <c r="D106">
        <v>402</v>
      </c>
      <c r="E106">
        <v>578</v>
      </c>
      <c r="G106" s="7">
        <v>4.6999999999999931E-2</v>
      </c>
      <c r="H106">
        <v>76</v>
      </c>
      <c r="I106" s="8">
        <v>125</v>
      </c>
      <c r="J106" s="7">
        <v>60.100000000000364</v>
      </c>
      <c r="K106">
        <v>44474</v>
      </c>
      <c r="L106" s="8">
        <v>9310</v>
      </c>
      <c r="M106" s="7">
        <v>30.546999999999912</v>
      </c>
      <c r="N106">
        <v>13424</v>
      </c>
      <c r="O106" s="8">
        <v>3100</v>
      </c>
      <c r="P106">
        <v>199.28000000000065</v>
      </c>
      <c r="Q106">
        <v>37066</v>
      </c>
      <c r="R106">
        <v>9310</v>
      </c>
      <c r="S106" s="7">
        <v>25.469000000000051</v>
      </c>
      <c r="U106">
        <v>6016</v>
      </c>
      <c r="V106" s="8">
        <v>3100</v>
      </c>
      <c r="W106" s="7">
        <v>5.2039999999999935</v>
      </c>
      <c r="X106">
        <v>156</v>
      </c>
      <c r="Y106" s="8">
        <v>600</v>
      </c>
      <c r="AB106" s="7">
        <f t="shared" si="8"/>
        <v>5.536332179930796E-2</v>
      </c>
      <c r="AC106">
        <f t="shared" si="9"/>
        <v>0.15311909262759923</v>
      </c>
      <c r="AD106" s="8">
        <f t="shared" si="10"/>
        <v>0.51741293532338306</v>
      </c>
    </row>
    <row r="107" spans="1:30" x14ac:dyDescent="0.3">
      <c r="A107">
        <v>620</v>
      </c>
      <c r="B107">
        <v>532</v>
      </c>
      <c r="C107">
        <v>0.78200000000000003</v>
      </c>
      <c r="D107">
        <v>396</v>
      </c>
      <c r="E107">
        <v>608</v>
      </c>
      <c r="G107" s="7">
        <v>3.0999999999999917E-2</v>
      </c>
      <c r="H107">
        <v>76</v>
      </c>
      <c r="I107" s="8">
        <v>125</v>
      </c>
      <c r="J107" s="7">
        <v>140</v>
      </c>
      <c r="K107">
        <v>45650</v>
      </c>
      <c r="L107" s="8">
        <v>9555</v>
      </c>
      <c r="M107" s="7">
        <v>44.937000000000012</v>
      </c>
      <c r="N107">
        <v>13625</v>
      </c>
      <c r="O107" s="8">
        <v>3150</v>
      </c>
      <c r="P107">
        <v>134.32999999999993</v>
      </c>
      <c r="Q107">
        <v>38046</v>
      </c>
      <c r="R107">
        <v>9555</v>
      </c>
      <c r="S107" s="7">
        <v>53.937000000000012</v>
      </c>
      <c r="U107">
        <v>6021</v>
      </c>
      <c r="V107" s="8">
        <v>3150</v>
      </c>
      <c r="W107" s="7">
        <v>11.563000000000002</v>
      </c>
      <c r="X107">
        <v>156</v>
      </c>
      <c r="Y107" s="8">
        <v>600</v>
      </c>
      <c r="AB107" s="7">
        <f t="shared" si="8"/>
        <v>1.9736842105263157E-2</v>
      </c>
      <c r="AC107">
        <f t="shared" si="9"/>
        <v>0.16541353383458646</v>
      </c>
      <c r="AD107" s="8">
        <f t="shared" si="10"/>
        <v>0.56565656565656564</v>
      </c>
    </row>
    <row r="108" spans="1:30" x14ac:dyDescent="0.3">
      <c r="A108">
        <v>555</v>
      </c>
      <c r="B108">
        <v>549</v>
      </c>
      <c r="C108">
        <v>0.78099999999999881</v>
      </c>
      <c r="D108">
        <v>372</v>
      </c>
      <c r="E108">
        <v>555</v>
      </c>
      <c r="G108" s="7">
        <v>4.7000000000000153E-2</v>
      </c>
      <c r="H108">
        <v>76</v>
      </c>
      <c r="I108" s="8">
        <v>125</v>
      </c>
      <c r="J108" s="7">
        <v>364.39999999999964</v>
      </c>
      <c r="K108">
        <v>42962</v>
      </c>
      <c r="L108" s="8">
        <v>8995</v>
      </c>
      <c r="M108" s="7">
        <v>2.6870000000000118</v>
      </c>
      <c r="N108">
        <v>12112</v>
      </c>
      <c r="O108" s="8">
        <v>2825</v>
      </c>
      <c r="P108">
        <v>51.309999999999491</v>
      </c>
      <c r="Q108">
        <v>35806</v>
      </c>
      <c r="R108">
        <v>8995</v>
      </c>
      <c r="S108" s="7">
        <v>2.2340000000000373</v>
      </c>
      <c r="U108">
        <v>4956</v>
      </c>
      <c r="V108" s="8">
        <v>2825</v>
      </c>
      <c r="W108" s="7">
        <v>4.4060000000000059</v>
      </c>
      <c r="X108">
        <v>156</v>
      </c>
      <c r="Y108" s="8">
        <v>600</v>
      </c>
      <c r="AB108" s="7">
        <f t="shared" si="8"/>
        <v>0</v>
      </c>
      <c r="AC108">
        <f t="shared" si="9"/>
        <v>1.092896174863388E-2</v>
      </c>
      <c r="AD108" s="8">
        <f t="shared" si="10"/>
        <v>0.49193548387096775</v>
      </c>
    </row>
    <row r="109" spans="1:30" x14ac:dyDescent="0.3">
      <c r="A109">
        <v>721</v>
      </c>
      <c r="B109">
        <v>628</v>
      </c>
      <c r="C109">
        <v>0.78099999999999881</v>
      </c>
      <c r="D109">
        <v>414</v>
      </c>
      <c r="E109">
        <v>646</v>
      </c>
      <c r="G109" s="7">
        <v>6.1999999999999833E-2</v>
      </c>
      <c r="H109">
        <v>76</v>
      </c>
      <c r="I109" s="8">
        <v>125</v>
      </c>
      <c r="J109" s="7">
        <v>404</v>
      </c>
      <c r="K109">
        <v>47138</v>
      </c>
      <c r="L109" s="8">
        <v>9865</v>
      </c>
      <c r="M109" s="7">
        <v>74.515999999999963</v>
      </c>
      <c r="N109">
        <v>16088</v>
      </c>
      <c r="O109" s="8">
        <v>3655</v>
      </c>
      <c r="P109">
        <v>149.59000000000015</v>
      </c>
      <c r="Q109">
        <v>39286</v>
      </c>
      <c r="R109">
        <v>9865</v>
      </c>
      <c r="S109" s="7">
        <v>81.765999999999963</v>
      </c>
      <c r="U109">
        <v>8236</v>
      </c>
      <c r="V109" s="8">
        <v>3655</v>
      </c>
      <c r="W109" s="7">
        <v>7.0319999999999823</v>
      </c>
      <c r="X109">
        <v>156</v>
      </c>
      <c r="Y109" s="8">
        <v>600</v>
      </c>
      <c r="AB109" s="7">
        <f t="shared" si="8"/>
        <v>0.11609907120743033</v>
      </c>
      <c r="AC109">
        <f t="shared" si="9"/>
        <v>0.14808917197452229</v>
      </c>
      <c r="AD109" s="8">
        <f t="shared" si="10"/>
        <v>0.74154589371980673</v>
      </c>
    </row>
    <row r="110" spans="1:30" ht="15" thickBot="1" x14ac:dyDescent="0.35">
      <c r="A110">
        <v>524</v>
      </c>
      <c r="B110">
        <v>503</v>
      </c>
      <c r="C110">
        <v>0.7970000000000006</v>
      </c>
      <c r="D110">
        <v>381</v>
      </c>
      <c r="E110">
        <v>521</v>
      </c>
      <c r="G110" s="9">
        <v>3.1000000000000139E-2</v>
      </c>
      <c r="H110" s="38">
        <v>76</v>
      </c>
      <c r="I110" s="12">
        <v>125</v>
      </c>
      <c r="J110" s="9">
        <v>50.300000000001091</v>
      </c>
      <c r="K110" s="38">
        <v>43802</v>
      </c>
      <c r="L110" s="12">
        <v>9170</v>
      </c>
      <c r="M110" s="9">
        <v>13.437000000000012</v>
      </c>
      <c r="N110" s="38">
        <v>11302</v>
      </c>
      <c r="O110" s="12">
        <v>2670</v>
      </c>
      <c r="P110" s="38">
        <v>83.670000000000073</v>
      </c>
      <c r="Q110" s="38">
        <v>36506</v>
      </c>
      <c r="R110" s="38">
        <v>9170</v>
      </c>
      <c r="S110" s="9">
        <v>7.5620000000000118</v>
      </c>
      <c r="T110" s="38"/>
      <c r="U110" s="38">
        <v>4006</v>
      </c>
      <c r="V110" s="12">
        <v>2670</v>
      </c>
      <c r="W110" s="9">
        <v>4.1400000000000148</v>
      </c>
      <c r="X110" s="38">
        <v>156</v>
      </c>
      <c r="Y110" s="12">
        <v>600</v>
      </c>
      <c r="AB110" s="9">
        <f t="shared" si="8"/>
        <v>5.7581573896353169E-3</v>
      </c>
      <c r="AC110" s="38">
        <f t="shared" si="9"/>
        <v>4.1749502982107355E-2</v>
      </c>
      <c r="AD110" s="12">
        <f t="shared" si="10"/>
        <v>0.37532808398950129</v>
      </c>
    </row>
    <row r="112" spans="1:30" x14ac:dyDescent="0.3">
      <c r="C112">
        <f>AVERAGE(C81:C110)</f>
        <v>0.84376666666666666</v>
      </c>
      <c r="E112">
        <f>AVERAGE(E81:E110)</f>
        <v>569.26666666666665</v>
      </c>
      <c r="G112">
        <f>AVERAGE(G81:G110)</f>
        <v>4.3333333333333335E-2</v>
      </c>
      <c r="H112">
        <f t="shared" ref="H112:O112" si="11">AVERAGE(H81:H110)</f>
        <v>76</v>
      </c>
      <c r="I112">
        <f t="shared" si="11"/>
        <v>125</v>
      </c>
      <c r="J112">
        <f t="shared" si="11"/>
        <v>379.68666666666667</v>
      </c>
      <c r="K112">
        <f t="shared" si="11"/>
        <v>44752.4</v>
      </c>
      <c r="L112">
        <f t="shared" si="11"/>
        <v>9368</v>
      </c>
      <c r="M112">
        <f t="shared" si="11"/>
        <v>33.18803333333333</v>
      </c>
      <c r="N112">
        <f t="shared" si="11"/>
        <v>13170.733333333334</v>
      </c>
      <c r="O112">
        <f t="shared" si="11"/>
        <v>3051.6666666666665</v>
      </c>
      <c r="P112">
        <f>AVERAGE(P81:P110)</f>
        <v>223.00066666666666</v>
      </c>
      <c r="Q112">
        <f>AVERAGE(Q81:Q110)</f>
        <v>37298</v>
      </c>
      <c r="R112">
        <f>AVERAGE(R81:R110)</f>
        <v>9368</v>
      </c>
      <c r="S112">
        <f>AVERAGE(S81:S110)</f>
        <v>30.959266666666668</v>
      </c>
      <c r="U112">
        <f>AVERAGE(U81:U110)</f>
        <v>5716.333333333333</v>
      </c>
      <c r="V112">
        <f>AVERAGE(V81:V110)</f>
        <v>3051.6666666666665</v>
      </c>
      <c r="W112">
        <f>AVERAGE(W81:W110)</f>
        <v>4.9141000000000004</v>
      </c>
      <c r="X112">
        <f>AVERAGE(X81:X110)</f>
        <v>156</v>
      </c>
      <c r="Y112">
        <f>AVERAGE(Y81:Y110)</f>
        <v>600</v>
      </c>
      <c r="AB112">
        <f>AVERAGE(AB81:AB110)</f>
        <v>5.4100882258352481E-2</v>
      </c>
      <c r="AC112">
        <f>AVERAGE(AC81:AC110)</f>
        <v>0.12084832063198817</v>
      </c>
      <c r="AD112">
        <f>AVERAGE(AD81:AD110)</f>
        <v>0.50368333911483953</v>
      </c>
    </row>
    <row r="113" spans="1:25" x14ac:dyDescent="0.3">
      <c r="P113">
        <f>_xlfn.T.TEST(P81:P110,J81:J110,1,1)</f>
        <v>0.1055187050364899</v>
      </c>
      <c r="S113">
        <f>_xlfn.T.TEST(S81:S110,M81:M110,1,1)</f>
        <v>0.34039613895577903</v>
      </c>
      <c r="T113">
        <f>_xlfn.T.TEST(P81:P110,J81:J110,1,1)</f>
        <v>0.1055187050364899</v>
      </c>
    </row>
    <row r="114" spans="1:25" x14ac:dyDescent="0.3">
      <c r="M114">
        <f>_xlfn.STDEV.S(M81:M110)</f>
        <v>44.522544001642132</v>
      </c>
      <c r="S114">
        <f>_xlfn.STDEV.S(S81:S110)</f>
        <v>32.213897594086589</v>
      </c>
    </row>
    <row r="120" spans="1:25" x14ac:dyDescent="0.3">
      <c r="A120" s="44" t="s">
        <v>42</v>
      </c>
    </row>
    <row r="121" spans="1:25" x14ac:dyDescent="0.3">
      <c r="C121" t="s">
        <v>43</v>
      </c>
      <c r="D121" t="s">
        <v>44</v>
      </c>
      <c r="E121" t="s">
        <v>8</v>
      </c>
    </row>
    <row r="122" spans="1:25" x14ac:dyDescent="0.3">
      <c r="B122" t="s">
        <v>71</v>
      </c>
      <c r="C122">
        <v>8.3257776549122489E-2</v>
      </c>
      <c r="D122">
        <v>0.14135718500830444</v>
      </c>
      <c r="E122">
        <v>0.34029770587326402</v>
      </c>
    </row>
    <row r="123" spans="1:25" x14ac:dyDescent="0.3">
      <c r="B123" t="s">
        <v>72</v>
      </c>
      <c r="C123">
        <v>7.2555639417971121E-2</v>
      </c>
      <c r="D123">
        <v>0.14794017332362833</v>
      </c>
      <c r="E123">
        <v>0.47375579988986222</v>
      </c>
    </row>
    <row r="124" spans="1:25" x14ac:dyDescent="0.3">
      <c r="B124" t="s">
        <v>73</v>
      </c>
      <c r="C124">
        <v>5.4100882258352481E-2</v>
      </c>
      <c r="D124">
        <v>0.12084832063198817</v>
      </c>
      <c r="E124">
        <v>0.50368333911483953</v>
      </c>
    </row>
    <row r="125" spans="1:25" x14ac:dyDescent="0.3">
      <c r="R125" s="76"/>
      <c r="S125" s="76"/>
      <c r="T125" s="76"/>
      <c r="U125" s="76"/>
      <c r="V125" s="76"/>
      <c r="W125" s="76"/>
      <c r="X125" s="76"/>
      <c r="Y125" s="76"/>
    </row>
    <row r="126" spans="1:25" x14ac:dyDescent="0.3">
      <c r="R126" s="75"/>
      <c r="S126" s="75"/>
      <c r="T126" s="75"/>
      <c r="U126" s="75"/>
      <c r="V126" s="75"/>
      <c r="W126" s="75"/>
      <c r="X126" s="75"/>
      <c r="Y126" s="75"/>
    </row>
    <row r="127" spans="1:25" x14ac:dyDescent="0.3">
      <c r="R127" s="75"/>
      <c r="S127" s="75"/>
      <c r="T127" s="75"/>
      <c r="U127" s="75"/>
      <c r="V127" s="75"/>
      <c r="W127" s="75"/>
      <c r="X127" s="75"/>
      <c r="Y127" s="75"/>
    </row>
    <row r="128" spans="1:25" x14ac:dyDescent="0.3">
      <c r="K128" s="122" t="s">
        <v>70</v>
      </c>
      <c r="L128" s="122"/>
      <c r="M128" s="122"/>
      <c r="R128" s="75"/>
      <c r="S128" s="75"/>
      <c r="T128" s="75"/>
      <c r="U128" s="75"/>
      <c r="V128" s="75"/>
      <c r="W128" s="75"/>
      <c r="X128" s="75"/>
      <c r="Y128" s="75"/>
    </row>
    <row r="129" spans="11:25" x14ac:dyDescent="0.3">
      <c r="K129" s="122"/>
      <c r="L129" s="122"/>
      <c r="M129" s="122"/>
      <c r="R129" s="75"/>
      <c r="S129" s="75"/>
      <c r="T129" s="75"/>
      <c r="U129" s="75"/>
      <c r="V129" s="75"/>
      <c r="W129" s="75"/>
      <c r="X129" s="75"/>
      <c r="Y129" s="75"/>
    </row>
    <row r="130" spans="11:25" x14ac:dyDescent="0.3">
      <c r="K130" s="122"/>
      <c r="L130" s="122"/>
      <c r="M130" s="122"/>
      <c r="R130" s="75"/>
      <c r="S130" s="75"/>
      <c r="T130" s="75"/>
      <c r="U130" s="75"/>
      <c r="V130" s="75"/>
      <c r="W130" s="75"/>
      <c r="X130" s="75"/>
      <c r="Y130" s="75"/>
    </row>
    <row r="131" spans="11:25" x14ac:dyDescent="0.3">
      <c r="K131" s="122"/>
      <c r="L131" s="122"/>
      <c r="M131" s="122"/>
      <c r="R131" s="75"/>
      <c r="S131" s="75"/>
      <c r="T131" s="75"/>
      <c r="U131" s="75"/>
      <c r="V131" s="75"/>
      <c r="W131" s="75"/>
      <c r="X131" s="75"/>
      <c r="Y131" s="75"/>
    </row>
    <row r="132" spans="11:25" x14ac:dyDescent="0.3">
      <c r="K132" s="122"/>
      <c r="L132" s="122"/>
      <c r="M132" s="122"/>
      <c r="R132" s="75"/>
      <c r="S132" s="75"/>
      <c r="T132" s="75"/>
      <c r="U132" s="75"/>
      <c r="V132" s="75"/>
      <c r="W132" s="75"/>
      <c r="X132" s="75"/>
      <c r="Y132" s="75"/>
    </row>
    <row r="133" spans="11:25" x14ac:dyDescent="0.3">
      <c r="K133" s="122"/>
      <c r="L133" s="122"/>
      <c r="M133" s="122"/>
    </row>
    <row r="134" spans="11:25" x14ac:dyDescent="0.3">
      <c r="K134" s="122"/>
      <c r="L134" s="122"/>
      <c r="M134" s="122"/>
    </row>
    <row r="135" spans="11:25" x14ac:dyDescent="0.3">
      <c r="K135" s="122"/>
      <c r="L135" s="122"/>
      <c r="M135" s="122"/>
    </row>
    <row r="136" spans="11:25" x14ac:dyDescent="0.3">
      <c r="K136" s="122"/>
      <c r="L136" s="122"/>
      <c r="M136" s="122"/>
    </row>
    <row r="147" spans="1:25" x14ac:dyDescent="0.3">
      <c r="A147" s="44" t="s">
        <v>67</v>
      </c>
    </row>
    <row r="148" spans="1:25" x14ac:dyDescent="0.3">
      <c r="C148" t="s">
        <v>57</v>
      </c>
      <c r="D148" t="s">
        <v>74</v>
      </c>
      <c r="E148" t="s">
        <v>75</v>
      </c>
      <c r="F148" t="s">
        <v>76</v>
      </c>
      <c r="G148" t="s">
        <v>77</v>
      </c>
      <c r="H148" t="s">
        <v>58</v>
      </c>
    </row>
    <row r="149" spans="1:25" x14ac:dyDescent="0.3">
      <c r="B149" t="s">
        <v>66</v>
      </c>
      <c r="C149">
        <v>4.0133333333333333E-2</v>
      </c>
      <c r="D149">
        <v>2.6912000000000003</v>
      </c>
      <c r="E149">
        <v>0.84833333333333327</v>
      </c>
      <c r="F149">
        <v>2.7389999999999999</v>
      </c>
      <c r="G149">
        <v>0.71050000000000002</v>
      </c>
      <c r="H149">
        <v>10.4948</v>
      </c>
    </row>
    <row r="150" spans="1:25" x14ac:dyDescent="0.3">
      <c r="B150" t="s">
        <v>65</v>
      </c>
      <c r="C150">
        <v>4.4299999999999999E-2</v>
      </c>
      <c r="D150">
        <v>34.655233333333328</v>
      </c>
      <c r="E150">
        <v>9.8489333333333331</v>
      </c>
      <c r="F150">
        <v>28.013466666666666</v>
      </c>
      <c r="G150">
        <v>10.689033333333333</v>
      </c>
      <c r="H150">
        <v>5.9818000000000007</v>
      </c>
    </row>
    <row r="151" spans="1:25" x14ac:dyDescent="0.3">
      <c r="B151" t="s">
        <v>64</v>
      </c>
      <c r="C151">
        <v>4.3333333333333335E-2</v>
      </c>
      <c r="D151">
        <v>379.68666666666667</v>
      </c>
      <c r="E151">
        <v>33.18803333333333</v>
      </c>
      <c r="F151">
        <v>223.00066666666666</v>
      </c>
      <c r="G151">
        <v>30.959266666666668</v>
      </c>
      <c r="H151">
        <v>4.9141000000000004</v>
      </c>
    </row>
    <row r="155" spans="1:25" x14ac:dyDescent="0.3">
      <c r="A155" s="44" t="s">
        <v>68</v>
      </c>
    </row>
    <row r="156" spans="1:25" x14ac:dyDescent="0.3">
      <c r="C156" t="s">
        <v>57</v>
      </c>
      <c r="D156" t="s">
        <v>74</v>
      </c>
      <c r="E156" t="s">
        <v>75</v>
      </c>
      <c r="F156" t="s">
        <v>76</v>
      </c>
      <c r="G156" t="s">
        <v>77</v>
      </c>
      <c r="H156" t="s">
        <v>58</v>
      </c>
    </row>
    <row r="157" spans="1:25" x14ac:dyDescent="0.3">
      <c r="B157" t="s">
        <v>66</v>
      </c>
      <c r="C157">
        <v>76</v>
      </c>
      <c r="D157">
        <v>9051.6</v>
      </c>
      <c r="E157">
        <v>3014.1</v>
      </c>
      <c r="F157">
        <v>7547.333333333333</v>
      </c>
      <c r="G157">
        <v>1509.8333333333333</v>
      </c>
      <c r="H157">
        <v>156</v>
      </c>
    </row>
    <row r="158" spans="1:25" x14ac:dyDescent="0.3">
      <c r="B158" t="s">
        <v>65</v>
      </c>
      <c r="C158">
        <v>76</v>
      </c>
      <c r="D158">
        <v>26752.400000000001</v>
      </c>
      <c r="E158">
        <v>8084.0666666666666</v>
      </c>
      <c r="F158">
        <v>22298</v>
      </c>
      <c r="G158">
        <v>3629.6666666666665</v>
      </c>
      <c r="H158">
        <v>156</v>
      </c>
      <c r="R158" s="76"/>
      <c r="S158" s="76"/>
      <c r="T158" s="76"/>
      <c r="U158" s="76"/>
      <c r="V158" s="76"/>
      <c r="W158" s="76"/>
      <c r="X158" s="76"/>
      <c r="Y158" s="76"/>
    </row>
    <row r="159" spans="1:25" x14ac:dyDescent="0.3">
      <c r="B159" t="s">
        <v>64</v>
      </c>
      <c r="C159">
        <v>76</v>
      </c>
      <c r="D159">
        <v>44752.4</v>
      </c>
      <c r="E159">
        <v>13170.733333333334</v>
      </c>
      <c r="F159">
        <v>37298</v>
      </c>
      <c r="G159">
        <v>5716.333333333333</v>
      </c>
      <c r="H159">
        <v>156</v>
      </c>
      <c r="R159" s="75"/>
      <c r="S159" s="75"/>
      <c r="T159" s="75"/>
      <c r="U159" s="75"/>
      <c r="V159" s="75"/>
      <c r="W159" s="75"/>
      <c r="X159" s="75"/>
      <c r="Y159" s="75"/>
    </row>
    <row r="160" spans="1:25" x14ac:dyDescent="0.3">
      <c r="R160" s="75"/>
      <c r="S160" s="75"/>
      <c r="T160" s="75"/>
      <c r="U160" s="75"/>
      <c r="V160" s="75"/>
      <c r="W160" s="75"/>
      <c r="X160" s="75"/>
      <c r="Y160" s="75"/>
    </row>
    <row r="161" spans="1:25" x14ac:dyDescent="0.3">
      <c r="R161" s="75"/>
      <c r="S161" s="75"/>
      <c r="T161" s="75"/>
      <c r="U161" s="75"/>
      <c r="V161" s="75"/>
      <c r="W161" s="75"/>
      <c r="X161" s="75"/>
      <c r="Y161" s="75"/>
    </row>
    <row r="162" spans="1:25" x14ac:dyDescent="0.3">
      <c r="A162" s="44" t="s">
        <v>69</v>
      </c>
      <c r="R162" s="75"/>
      <c r="S162" s="75"/>
      <c r="T162" s="75"/>
      <c r="U162" s="75"/>
      <c r="V162" s="75"/>
      <c r="W162" s="75"/>
      <c r="X162" s="75"/>
      <c r="Y162" s="75"/>
    </row>
    <row r="163" spans="1:25" x14ac:dyDescent="0.3">
      <c r="C163" t="s">
        <v>57</v>
      </c>
      <c r="D163" t="s">
        <v>74</v>
      </c>
      <c r="E163" t="s">
        <v>75</v>
      </c>
      <c r="F163" t="s">
        <v>76</v>
      </c>
      <c r="G163" t="s">
        <v>77</v>
      </c>
      <c r="H163" t="s">
        <v>58</v>
      </c>
      <c r="R163" s="75"/>
      <c r="S163" s="75"/>
      <c r="T163" s="75"/>
      <c r="U163" s="75"/>
      <c r="V163" s="75"/>
      <c r="W163" s="75"/>
      <c r="X163" s="75"/>
      <c r="Y163" s="75"/>
    </row>
    <row r="164" spans="1:25" x14ac:dyDescent="0.3">
      <c r="B164" t="s">
        <v>66</v>
      </c>
      <c r="C164">
        <v>125</v>
      </c>
      <c r="D164">
        <v>1930.3333333333333</v>
      </c>
      <c r="E164">
        <v>722.83333333333337</v>
      </c>
      <c r="F164">
        <v>1930.3333333333333</v>
      </c>
      <c r="G164">
        <v>722.83333333333337</v>
      </c>
      <c r="H164">
        <v>600</v>
      </c>
      <c r="R164" s="75"/>
      <c r="S164" s="75"/>
      <c r="T164" s="75"/>
      <c r="U164" s="75"/>
      <c r="V164" s="75"/>
      <c r="W164" s="75"/>
      <c r="X164" s="75"/>
      <c r="Y164" s="75"/>
    </row>
    <row r="165" spans="1:25" x14ac:dyDescent="0.3">
      <c r="B165" t="s">
        <v>65</v>
      </c>
      <c r="C165">
        <v>125</v>
      </c>
      <c r="D165">
        <v>5618</v>
      </c>
      <c r="E165">
        <v>1884.3333333333333</v>
      </c>
      <c r="F165">
        <v>5618</v>
      </c>
      <c r="G165">
        <v>1884.3333333333333</v>
      </c>
      <c r="H165">
        <v>600</v>
      </c>
      <c r="R165" s="75"/>
      <c r="S165" s="75"/>
      <c r="T165" s="75"/>
      <c r="U165" s="75"/>
      <c r="V165" s="75"/>
      <c r="W165" s="75"/>
      <c r="X165" s="75"/>
      <c r="Y165" s="75"/>
    </row>
    <row r="166" spans="1:25" x14ac:dyDescent="0.3">
      <c r="B166" t="s">
        <v>64</v>
      </c>
      <c r="C166">
        <v>125</v>
      </c>
      <c r="D166">
        <v>9368</v>
      </c>
      <c r="E166">
        <v>3051.6666666666665</v>
      </c>
      <c r="F166">
        <v>9368</v>
      </c>
      <c r="G166">
        <v>3051.6666666666665</v>
      </c>
      <c r="H166">
        <v>600</v>
      </c>
    </row>
    <row r="170" spans="1:25" x14ac:dyDescent="0.3">
      <c r="C170" t="s">
        <v>57</v>
      </c>
      <c r="D170" t="s">
        <v>58</v>
      </c>
    </row>
    <row r="171" spans="1:25" x14ac:dyDescent="0.3">
      <c r="B171" t="s">
        <v>80</v>
      </c>
      <c r="C171">
        <v>76</v>
      </c>
      <c r="D171">
        <v>156</v>
      </c>
    </row>
    <row r="172" spans="1:25" x14ac:dyDescent="0.3">
      <c r="B172" t="s">
        <v>81</v>
      </c>
      <c r="C172">
        <v>125</v>
      </c>
      <c r="D172">
        <v>600</v>
      </c>
    </row>
    <row r="180" spans="10:16" x14ac:dyDescent="0.3">
      <c r="J180" s="122" t="s">
        <v>79</v>
      </c>
      <c r="K180" s="122"/>
      <c r="L180" s="122"/>
      <c r="N180" s="121" t="s">
        <v>78</v>
      </c>
      <c r="O180" s="121"/>
      <c r="P180" s="121"/>
    </row>
    <row r="181" spans="10:16" x14ac:dyDescent="0.3">
      <c r="J181" s="122"/>
      <c r="K181" s="122"/>
      <c r="L181" s="122"/>
    </row>
  </sheetData>
  <mergeCells count="3">
    <mergeCell ref="K128:M136"/>
    <mergeCell ref="N180:P180"/>
    <mergeCell ref="J180:L18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28849-3141-47A9-9A86-A1AD0C66F525}">
  <dimension ref="A1:BZ319"/>
  <sheetViews>
    <sheetView tabSelected="1" topLeftCell="G300" zoomScale="55" zoomScaleNormal="55" workbookViewId="0">
      <selection activeCell="X329" sqref="X329"/>
    </sheetView>
  </sheetViews>
  <sheetFormatPr defaultRowHeight="14.4" x14ac:dyDescent="0.3"/>
  <cols>
    <col min="2" max="2" width="11.109375" customWidth="1"/>
    <col min="6" max="6" width="15.88671875" customWidth="1"/>
  </cols>
  <sheetData>
    <row r="1" spans="3:78" ht="15" thickBot="1" x14ac:dyDescent="0.35">
      <c r="C1" s="44" t="s">
        <v>84</v>
      </c>
      <c r="D1" s="44" t="s">
        <v>85</v>
      </c>
    </row>
    <row r="2" spans="3:78" x14ac:dyDescent="0.3">
      <c r="C2" s="27" t="s">
        <v>3</v>
      </c>
      <c r="D2" s="28"/>
      <c r="E2" s="28"/>
      <c r="F2" s="28"/>
      <c r="G2" s="28"/>
      <c r="H2" s="29"/>
      <c r="I2" s="5" t="s">
        <v>12</v>
      </c>
      <c r="J2" s="22"/>
      <c r="K2" s="22"/>
      <c r="L2" s="22"/>
      <c r="M2" s="22"/>
      <c r="N2" s="22"/>
      <c r="O2" s="6"/>
    </row>
    <row r="3" spans="3:78" x14ac:dyDescent="0.3">
      <c r="C3" s="15" t="s">
        <v>4</v>
      </c>
      <c r="D3" s="14" t="s">
        <v>0</v>
      </c>
      <c r="E3" s="14" t="s">
        <v>7</v>
      </c>
      <c r="F3" s="3" t="s">
        <v>8</v>
      </c>
      <c r="G3" s="13" t="s">
        <v>9</v>
      </c>
      <c r="H3" s="1" t="s">
        <v>10</v>
      </c>
      <c r="I3" s="48" t="s">
        <v>4</v>
      </c>
      <c r="J3" s="48" t="s">
        <v>0</v>
      </c>
      <c r="K3" s="48" t="s">
        <v>7</v>
      </c>
      <c r="L3" s="55" t="s">
        <v>8</v>
      </c>
      <c r="M3" s="13" t="s">
        <v>9</v>
      </c>
      <c r="N3" s="55" t="s">
        <v>10</v>
      </c>
      <c r="O3" s="69" t="s">
        <v>18</v>
      </c>
      <c r="Q3" t="s">
        <v>15</v>
      </c>
      <c r="R3">
        <f>SQRT(29)</f>
        <v>5.3851648071345037</v>
      </c>
    </row>
    <row r="4" spans="3:78" ht="15" thickBot="1" x14ac:dyDescent="0.35">
      <c r="C4" s="20">
        <v>51.609000000000002</v>
      </c>
      <c r="D4" s="13">
        <v>2949</v>
      </c>
      <c r="E4" s="13">
        <v>2832</v>
      </c>
      <c r="F4" s="1">
        <v>2832</v>
      </c>
      <c r="G4" s="1">
        <f>(D4-E4)/E4</f>
        <v>4.1313559322033899E-2</v>
      </c>
      <c r="H4" s="13">
        <f>(D4-F4)/F4</f>
        <v>4.1313559322033899E-2</v>
      </c>
      <c r="I4" s="66">
        <v>51.609000000000002</v>
      </c>
      <c r="J4" s="32">
        <v>2949</v>
      </c>
      <c r="K4" s="32">
        <v>2832</v>
      </c>
      <c r="L4" s="33">
        <v>2832</v>
      </c>
      <c r="M4" s="32"/>
      <c r="N4" s="45">
        <v>4.1313559322033899E-2</v>
      </c>
      <c r="O4" s="32">
        <v>4.1313559322033899E-2</v>
      </c>
      <c r="S4" t="s">
        <v>16</v>
      </c>
      <c r="T4" t="s">
        <v>44</v>
      </c>
      <c r="U4" t="s">
        <v>8</v>
      </c>
      <c r="AH4">
        <v>3.9931000000000001E-2</v>
      </c>
      <c r="AI4">
        <v>4.4388999999999998E-2</v>
      </c>
      <c r="AJ4">
        <v>3.8880999999999999E-2</v>
      </c>
      <c r="AK4">
        <v>4.7619000000000002E-2</v>
      </c>
      <c r="AL4">
        <v>4.0777000000000001E-2</v>
      </c>
      <c r="AM4">
        <v>4.1797000000000001E-2</v>
      </c>
      <c r="AN4">
        <v>4.367E-2</v>
      </c>
      <c r="AO4">
        <v>3.5772999999999999E-2</v>
      </c>
      <c r="AP4">
        <v>4.0541000000000001E-2</v>
      </c>
      <c r="AQ4">
        <v>3.6457999999999997E-2</v>
      </c>
      <c r="AR4">
        <v>4.2410999999999997E-2</v>
      </c>
      <c r="AS4">
        <v>3.9061999999999999E-2</v>
      </c>
      <c r="AT4">
        <v>4.4033999999999997E-2</v>
      </c>
      <c r="AU4">
        <v>4.3944999999999998E-2</v>
      </c>
      <c r="AV4">
        <v>4.2339000000000002E-2</v>
      </c>
      <c r="AW4">
        <v>4.8958000000000002E-2</v>
      </c>
      <c r="AX4">
        <v>3.9331999999999999E-2</v>
      </c>
      <c r="AY4">
        <v>4.7433000000000003E-2</v>
      </c>
      <c r="AZ4">
        <v>4.5138999999999999E-2</v>
      </c>
      <c r="BA4">
        <v>3.5457000000000002E-2</v>
      </c>
      <c r="BB4">
        <v>3.7499999999999999E-2</v>
      </c>
      <c r="BC4">
        <v>3.6457999999999997E-2</v>
      </c>
      <c r="BD4">
        <v>3.6005000000000002E-2</v>
      </c>
      <c r="BE4">
        <v>3.7642000000000002E-2</v>
      </c>
      <c r="BF4">
        <v>3.4225999999999999E-2</v>
      </c>
      <c r="BG4">
        <v>3.3593999999999999E-2</v>
      </c>
      <c r="BH4">
        <v>3.2072000000000003E-2</v>
      </c>
      <c r="BI4">
        <v>4.3402999999999997E-2</v>
      </c>
      <c r="BJ4">
        <v>5.2389999999999999E-2</v>
      </c>
      <c r="BK4">
        <v>5.2734000000000003E-2</v>
      </c>
      <c r="BL4">
        <v>3.9583E-2</v>
      </c>
      <c r="BM4">
        <v>4.6875E-2</v>
      </c>
      <c r="BN4">
        <v>3.8462000000000003E-2</v>
      </c>
      <c r="BO4">
        <v>3.5156E-2</v>
      </c>
      <c r="BP4">
        <v>3.6932E-2</v>
      </c>
      <c r="BQ4">
        <v>3.2813000000000002E-2</v>
      </c>
      <c r="BR4">
        <v>3.8193999999999999E-2</v>
      </c>
      <c r="BS4">
        <v>4.2969E-2</v>
      </c>
      <c r="BT4">
        <v>4.6875E-2</v>
      </c>
      <c r="BU4">
        <v>3.6457999999999997E-2</v>
      </c>
      <c r="BV4">
        <v>3.4375000000000003E-2</v>
      </c>
      <c r="BW4">
        <v>2.7344E-2</v>
      </c>
      <c r="BX4">
        <v>6.25E-2</v>
      </c>
      <c r="BY4">
        <v>2.3438000000000001E-2</v>
      </c>
      <c r="BZ4">
        <v>3.125E-2</v>
      </c>
    </row>
    <row r="5" spans="3:78" x14ac:dyDescent="0.3">
      <c r="C5" s="15">
        <v>52.297000000000004</v>
      </c>
      <c r="D5" s="14">
        <v>2911</v>
      </c>
      <c r="E5" s="14">
        <v>2816</v>
      </c>
      <c r="F5" s="3">
        <v>2780</v>
      </c>
      <c r="G5" s="1">
        <f t="shared" ref="G5:G33" si="0">(D5-E5)/E5</f>
        <v>3.3735795454545456E-2</v>
      </c>
      <c r="H5" s="14">
        <f t="shared" ref="H5:H33" si="1">(D5-F5)/F5</f>
        <v>4.7122302158273378E-2</v>
      </c>
      <c r="I5" s="67">
        <v>52.297000000000004</v>
      </c>
      <c r="J5" s="34">
        <v>2911</v>
      </c>
      <c r="K5" s="34">
        <v>2816</v>
      </c>
      <c r="L5" s="35">
        <v>2780</v>
      </c>
      <c r="M5" s="34"/>
      <c r="N5" s="46">
        <v>3.3735795454545456E-2</v>
      </c>
      <c r="O5" s="34">
        <v>4.7122302158273378E-2</v>
      </c>
      <c r="Q5" s="5">
        <v>0</v>
      </c>
      <c r="R5" s="22">
        <v>0.05</v>
      </c>
      <c r="S5" s="59">
        <f t="shared" ref="S5:S11" si="2">COUNTIFS($M$4:$M$33,"&lt;"&amp;R5,$M$4:$M$33,"&gt;="&amp;Q5)/$S$12</f>
        <v>0</v>
      </c>
      <c r="T5" s="56">
        <f t="shared" ref="T5:T11" si="3">COUNTIFS($N$4:$N$33,"&lt;"&amp;R5,$N$4:$N$33,"&gt;="&amp;Q5)/$S$12</f>
        <v>0.83333333333333337</v>
      </c>
      <c r="U5" s="62">
        <f t="shared" ref="U5:U11" si="4">COUNTIFS($O$4:$O$33,"&lt;"&amp;R5,$O$4:$O$33,"&gt;="&amp;Q5)/$S$12</f>
        <v>0.76666666666666672</v>
      </c>
      <c r="V5" s="6" t="str">
        <f>_xlfn.CONCAT(TEXT(Q5,"0.00"),"-",TEXT(R5,"0.00"))</f>
        <v>0.00-0.05</v>
      </c>
      <c r="AH5">
        <v>3.9931000000000001E-2</v>
      </c>
      <c r="AI5">
        <v>5.0781E-2</v>
      </c>
      <c r="AJ5">
        <v>4.6148000000000002E-2</v>
      </c>
      <c r="AK5">
        <v>4.7619000000000002E-2</v>
      </c>
      <c r="AL5">
        <v>4.2682999999999999E-2</v>
      </c>
      <c r="AM5">
        <v>4.4141E-2</v>
      </c>
      <c r="AN5">
        <v>4.4070999999999999E-2</v>
      </c>
      <c r="AO5">
        <v>3.4951000000000003E-2</v>
      </c>
      <c r="AP5">
        <v>4.0962999999999999E-2</v>
      </c>
      <c r="AQ5">
        <v>3.9496999999999997E-2</v>
      </c>
      <c r="AR5">
        <v>3.8392999999999997E-2</v>
      </c>
      <c r="AS5">
        <v>3.4925999999999999E-2</v>
      </c>
      <c r="AT5">
        <v>4.1193E-2</v>
      </c>
      <c r="AU5">
        <v>3.7109000000000003E-2</v>
      </c>
      <c r="AV5">
        <v>3.7802000000000002E-2</v>
      </c>
      <c r="AW5">
        <v>3.6978999999999998E-2</v>
      </c>
      <c r="AX5">
        <v>3.5021999999999998E-2</v>
      </c>
      <c r="AY5">
        <v>3.8503999999999997E-2</v>
      </c>
      <c r="AZ5">
        <v>3.4144000000000001E-2</v>
      </c>
      <c r="BA5">
        <v>4.4470999999999997E-2</v>
      </c>
      <c r="BB5">
        <v>3.9375E-2</v>
      </c>
      <c r="BC5">
        <v>3.4505000000000001E-2</v>
      </c>
      <c r="BD5">
        <v>4.0760999999999999E-2</v>
      </c>
      <c r="BE5">
        <v>3.9061999999999999E-2</v>
      </c>
      <c r="BF5">
        <v>5.1339000000000003E-2</v>
      </c>
      <c r="BG5">
        <v>3.7499999999999999E-2</v>
      </c>
      <c r="BH5">
        <v>4.2763000000000002E-2</v>
      </c>
      <c r="BI5">
        <v>3.8193999999999999E-2</v>
      </c>
      <c r="BJ5">
        <v>4.0440999999999998E-2</v>
      </c>
      <c r="BK5">
        <v>4.2969E-2</v>
      </c>
      <c r="BL5">
        <v>4.2708000000000003E-2</v>
      </c>
      <c r="BM5">
        <v>3.9061999999999999E-2</v>
      </c>
      <c r="BN5">
        <v>3.8462000000000003E-2</v>
      </c>
      <c r="BO5">
        <v>5.0781E-2</v>
      </c>
      <c r="BP5">
        <v>6.1080000000000002E-2</v>
      </c>
      <c r="BQ5">
        <v>5.3124999999999999E-2</v>
      </c>
      <c r="BR5">
        <v>4.5138999999999999E-2</v>
      </c>
      <c r="BS5">
        <v>4.8828000000000003E-2</v>
      </c>
      <c r="BT5">
        <v>4.6875E-2</v>
      </c>
      <c r="BU5">
        <v>4.9479000000000002E-2</v>
      </c>
      <c r="BV5">
        <v>4.3749999999999997E-2</v>
      </c>
      <c r="BW5">
        <v>5.8594E-2</v>
      </c>
      <c r="BX5">
        <v>4.1667000000000003E-2</v>
      </c>
      <c r="BY5">
        <v>3.125E-2</v>
      </c>
      <c r="BZ5">
        <v>1.5625E-2</v>
      </c>
    </row>
    <row r="6" spans="3:78" x14ac:dyDescent="0.3">
      <c r="C6" s="15">
        <v>60.968999999999994</v>
      </c>
      <c r="D6" s="14">
        <v>3119</v>
      </c>
      <c r="E6" s="14">
        <v>2886</v>
      </c>
      <c r="F6" s="3">
        <v>2877</v>
      </c>
      <c r="G6" s="1">
        <f t="shared" si="0"/>
        <v>8.073458073458073E-2</v>
      </c>
      <c r="H6" s="14">
        <f t="shared" si="1"/>
        <v>8.4115397984011117E-2</v>
      </c>
      <c r="I6" s="67">
        <v>60.968999999999994</v>
      </c>
      <c r="J6" s="34">
        <v>3119</v>
      </c>
      <c r="K6" s="34">
        <v>2886</v>
      </c>
      <c r="L6" s="35">
        <v>2877</v>
      </c>
      <c r="M6" s="34"/>
      <c r="N6" s="46">
        <v>8.073458073458073E-2</v>
      </c>
      <c r="O6" s="34">
        <v>8.4115397984011117E-2</v>
      </c>
      <c r="Q6" s="7">
        <f t="shared" ref="Q6:Q12" si="5">R5</f>
        <v>0.05</v>
      </c>
      <c r="R6">
        <f>Q6+0.05</f>
        <v>0.1</v>
      </c>
      <c r="S6" s="60">
        <f t="shared" si="2"/>
        <v>0</v>
      </c>
      <c r="T6" s="57">
        <f t="shared" si="3"/>
        <v>0.16666666666666666</v>
      </c>
      <c r="U6" s="63">
        <f t="shared" si="4"/>
        <v>0.23333333333333334</v>
      </c>
      <c r="V6" s="8" t="str">
        <f t="shared" ref="V6:V11" si="6">_xlfn.CONCAT(TEXT(Q6,"0.00"),"-",TEXT(R6,"0.00"))</f>
        <v>0.05-0.10</v>
      </c>
      <c r="AH6">
        <v>4.2708000000000003E-2</v>
      </c>
      <c r="AI6">
        <v>4.1903000000000003E-2</v>
      </c>
      <c r="AJ6">
        <v>4.8691999999999999E-2</v>
      </c>
      <c r="AK6">
        <v>4.1294999999999998E-2</v>
      </c>
      <c r="AL6">
        <v>3.8109999999999998E-2</v>
      </c>
      <c r="AM6">
        <v>3.9453000000000002E-2</v>
      </c>
      <c r="AN6">
        <v>3.6457999999999997E-2</v>
      </c>
      <c r="AO6">
        <v>4.6052999999999997E-2</v>
      </c>
      <c r="AP6">
        <v>5.1520000000000003E-2</v>
      </c>
      <c r="AQ6">
        <v>4.9044999999999998E-2</v>
      </c>
      <c r="AR6">
        <v>3.5268000000000001E-2</v>
      </c>
      <c r="AS6">
        <v>4.0440999999999998E-2</v>
      </c>
      <c r="AT6">
        <v>4.6401999999999999E-2</v>
      </c>
      <c r="AU6">
        <v>3.7109000000000003E-2</v>
      </c>
      <c r="AV6">
        <v>3.8306E-2</v>
      </c>
      <c r="AW6">
        <v>4.5832999999999999E-2</v>
      </c>
      <c r="AX6">
        <v>3.5560000000000001E-2</v>
      </c>
      <c r="AY6">
        <v>4.1294999999999998E-2</v>
      </c>
      <c r="AZ6">
        <v>4.9769000000000001E-2</v>
      </c>
      <c r="BA6">
        <v>4.1466000000000003E-2</v>
      </c>
      <c r="BB6">
        <v>0.04</v>
      </c>
      <c r="BC6">
        <v>3.9061999999999999E-2</v>
      </c>
      <c r="BD6">
        <v>4.0082E-2</v>
      </c>
      <c r="BE6">
        <v>4.7585000000000002E-2</v>
      </c>
      <c r="BF6">
        <v>4.3899000000000001E-2</v>
      </c>
      <c r="BG6">
        <v>4.3749999999999997E-2</v>
      </c>
      <c r="BH6">
        <v>4.6052999999999997E-2</v>
      </c>
      <c r="BI6">
        <v>3.9931000000000001E-2</v>
      </c>
      <c r="BJ6">
        <v>4.5955999999999997E-2</v>
      </c>
      <c r="BK6">
        <v>4.2969E-2</v>
      </c>
      <c r="BL6">
        <v>5.7292000000000003E-2</v>
      </c>
      <c r="BM6">
        <v>4.4643000000000002E-2</v>
      </c>
      <c r="BN6">
        <v>3.9662999999999997E-2</v>
      </c>
      <c r="BO6">
        <v>4.4270999999999998E-2</v>
      </c>
      <c r="BP6">
        <v>5.9658999999999997E-2</v>
      </c>
      <c r="BQ6">
        <v>4.6875E-2</v>
      </c>
      <c r="BR6">
        <v>3.8193999999999999E-2</v>
      </c>
      <c r="BS6">
        <v>3.9061999999999999E-2</v>
      </c>
      <c r="BT6">
        <v>5.1339000000000003E-2</v>
      </c>
      <c r="BU6">
        <v>4.1667000000000003E-2</v>
      </c>
      <c r="BV6">
        <v>5.3124999999999999E-2</v>
      </c>
      <c r="BW6">
        <v>3.125E-2</v>
      </c>
      <c r="BX6">
        <v>6.25E-2</v>
      </c>
      <c r="BY6">
        <v>4.6875E-2</v>
      </c>
      <c r="BZ6">
        <v>3.125E-2</v>
      </c>
    </row>
    <row r="7" spans="3:78" x14ac:dyDescent="0.3">
      <c r="C7" s="15">
        <v>64.062000000000012</v>
      </c>
      <c r="D7" s="14">
        <v>2965</v>
      </c>
      <c r="E7" s="14">
        <v>2826</v>
      </c>
      <c r="F7" s="3">
        <v>2803</v>
      </c>
      <c r="G7" s="1">
        <f t="shared" si="0"/>
        <v>4.9186128803963197E-2</v>
      </c>
      <c r="H7" s="14">
        <f t="shared" si="1"/>
        <v>5.7795219407777383E-2</v>
      </c>
      <c r="I7" s="67">
        <v>64.062000000000012</v>
      </c>
      <c r="J7" s="34">
        <v>2965</v>
      </c>
      <c r="K7" s="34">
        <v>2826</v>
      </c>
      <c r="L7" s="35">
        <v>2803</v>
      </c>
      <c r="M7" s="34"/>
      <c r="N7" s="46">
        <v>4.9186128803963197E-2</v>
      </c>
      <c r="O7" s="34">
        <v>5.7795219407777383E-2</v>
      </c>
      <c r="Q7" s="7">
        <f t="shared" si="5"/>
        <v>0.1</v>
      </c>
      <c r="R7">
        <f t="shared" ref="R7:R11" si="7">Q7+0.05</f>
        <v>0.15000000000000002</v>
      </c>
      <c r="S7" s="60">
        <f t="shared" si="2"/>
        <v>0</v>
      </c>
      <c r="T7" s="57">
        <f t="shared" si="3"/>
        <v>0</v>
      </c>
      <c r="U7" s="63">
        <f t="shared" si="4"/>
        <v>0</v>
      </c>
      <c r="V7" s="8" t="str">
        <f t="shared" si="6"/>
        <v>0.10-0.15</v>
      </c>
      <c r="AH7">
        <v>4.8611000000000001E-2</v>
      </c>
      <c r="AI7">
        <v>4.4033999999999997E-2</v>
      </c>
      <c r="AJ7">
        <v>4.4694999999999999E-2</v>
      </c>
      <c r="AK7">
        <v>4.0923000000000001E-2</v>
      </c>
      <c r="AL7">
        <v>4.3444999999999998E-2</v>
      </c>
      <c r="AM7">
        <v>4.1405999999999998E-2</v>
      </c>
      <c r="AN7">
        <v>4.4872000000000002E-2</v>
      </c>
      <c r="AO7">
        <v>4.3173999999999997E-2</v>
      </c>
      <c r="AP7">
        <v>4.9831E-2</v>
      </c>
      <c r="AQ7">
        <v>4.1232999999999999E-2</v>
      </c>
      <c r="AR7">
        <v>5.2232000000000001E-2</v>
      </c>
      <c r="AS7">
        <v>4.5955999999999997E-2</v>
      </c>
      <c r="AT7">
        <v>4.7822000000000003E-2</v>
      </c>
      <c r="AU7">
        <v>5.2246000000000001E-2</v>
      </c>
      <c r="AV7">
        <v>6.3004000000000004E-2</v>
      </c>
      <c r="AW7">
        <v>4.3228999999999997E-2</v>
      </c>
      <c r="AX7">
        <v>4.4180999999999998E-2</v>
      </c>
      <c r="AY7">
        <v>4.1294999999999998E-2</v>
      </c>
      <c r="AZ7">
        <v>3.8773000000000002E-2</v>
      </c>
      <c r="BA7">
        <v>7.3316999999999993E-2</v>
      </c>
      <c r="BB7">
        <v>5.6875000000000002E-2</v>
      </c>
      <c r="BC7">
        <v>4.5573000000000002E-2</v>
      </c>
      <c r="BD7">
        <v>4.7553999999999999E-2</v>
      </c>
      <c r="BE7">
        <v>3.8351999999999997E-2</v>
      </c>
      <c r="BF7">
        <v>5.3571000000000001E-2</v>
      </c>
      <c r="BG7">
        <v>5.5468999999999997E-2</v>
      </c>
      <c r="BH7">
        <v>4.6052999999999997E-2</v>
      </c>
      <c r="BI7">
        <v>4.6006999999999999E-2</v>
      </c>
      <c r="BJ7">
        <v>3.8602999999999998E-2</v>
      </c>
      <c r="BK7">
        <v>4.4921999999999997E-2</v>
      </c>
      <c r="BL7">
        <v>4.3749999999999997E-2</v>
      </c>
      <c r="BM7">
        <v>4.1294999999999998E-2</v>
      </c>
      <c r="BN7">
        <v>4.8077000000000002E-2</v>
      </c>
      <c r="BO7">
        <v>4.9479000000000002E-2</v>
      </c>
      <c r="BP7">
        <v>4.9716000000000003E-2</v>
      </c>
      <c r="BQ7">
        <v>4.0625000000000001E-2</v>
      </c>
      <c r="BR7">
        <v>4.1667000000000003E-2</v>
      </c>
      <c r="BS7">
        <v>4.1015999999999997E-2</v>
      </c>
      <c r="BT7">
        <v>4.6875E-2</v>
      </c>
      <c r="BU7">
        <v>3.125E-2</v>
      </c>
      <c r="BV7">
        <v>5.3124999999999999E-2</v>
      </c>
      <c r="BW7">
        <v>3.5156E-2</v>
      </c>
      <c r="BX7">
        <v>4.6875E-2</v>
      </c>
      <c r="BY7">
        <v>3.125E-2</v>
      </c>
      <c r="BZ7">
        <v>3.125E-2</v>
      </c>
    </row>
    <row r="8" spans="3:78" x14ac:dyDescent="0.3">
      <c r="C8" s="15">
        <v>59.031999999999982</v>
      </c>
      <c r="D8" s="14">
        <v>2794</v>
      </c>
      <c r="E8" s="14">
        <v>2773</v>
      </c>
      <c r="F8" s="3">
        <v>2773</v>
      </c>
      <c r="G8" s="1">
        <f t="shared" si="0"/>
        <v>7.5730256040389471E-3</v>
      </c>
      <c r="H8" s="14">
        <f t="shared" si="1"/>
        <v>7.5730256040389471E-3</v>
      </c>
      <c r="I8" s="67">
        <v>59.031999999999982</v>
      </c>
      <c r="J8" s="34">
        <v>2794</v>
      </c>
      <c r="K8" s="34">
        <v>2773</v>
      </c>
      <c r="L8" s="35">
        <v>2773</v>
      </c>
      <c r="M8" s="34"/>
      <c r="N8" s="46">
        <v>7.5730256040389471E-3</v>
      </c>
      <c r="O8" s="34">
        <v>7.5730256040389471E-3</v>
      </c>
      <c r="Q8" s="7">
        <f t="shared" si="5"/>
        <v>0.15000000000000002</v>
      </c>
      <c r="R8">
        <f t="shared" si="7"/>
        <v>0.2</v>
      </c>
      <c r="S8" s="60">
        <f t="shared" si="2"/>
        <v>0</v>
      </c>
      <c r="T8" s="57">
        <f t="shared" si="3"/>
        <v>0</v>
      </c>
      <c r="U8" s="63">
        <f t="shared" si="4"/>
        <v>0</v>
      </c>
      <c r="V8" s="8" t="str">
        <f t="shared" si="6"/>
        <v>0.15-0.20</v>
      </c>
      <c r="Y8">
        <f>AVERAGE(N4:N20)</f>
        <v>3.50453940866896E-2</v>
      </c>
      <c r="Z8">
        <f>AVERAGE(O4:O20)</f>
        <v>3.9675554221101833E-2</v>
      </c>
      <c r="AH8">
        <v>4.3402999999999997E-2</v>
      </c>
      <c r="AI8">
        <v>4.7585000000000002E-2</v>
      </c>
      <c r="AJ8">
        <v>4.2514999999999997E-2</v>
      </c>
      <c r="AK8">
        <v>4.2783000000000002E-2</v>
      </c>
      <c r="AL8">
        <v>4.0396000000000001E-2</v>
      </c>
      <c r="AM8">
        <v>4.5311999999999998E-2</v>
      </c>
      <c r="AN8">
        <v>4.8877999999999998E-2</v>
      </c>
      <c r="AO8">
        <v>4.3586E-2</v>
      </c>
      <c r="AP8">
        <v>4.3074000000000001E-2</v>
      </c>
      <c r="AQ8">
        <v>4.9479000000000002E-2</v>
      </c>
      <c r="AR8">
        <v>4.8214E-2</v>
      </c>
      <c r="AS8">
        <v>5.4227999999999998E-2</v>
      </c>
      <c r="AT8">
        <v>5.4924000000000001E-2</v>
      </c>
      <c r="AU8">
        <v>5.3711000000000002E-2</v>
      </c>
      <c r="AV8">
        <v>4.6875E-2</v>
      </c>
      <c r="AW8">
        <v>0.05</v>
      </c>
      <c r="AX8">
        <v>5.7651000000000001E-2</v>
      </c>
      <c r="AY8">
        <v>5.0781E-2</v>
      </c>
      <c r="AZ8">
        <v>4.6295999999999997E-2</v>
      </c>
      <c r="BA8">
        <v>5.2885000000000001E-2</v>
      </c>
      <c r="BB8">
        <v>4.4999999999999998E-2</v>
      </c>
      <c r="BC8">
        <v>4.5573000000000002E-2</v>
      </c>
      <c r="BD8">
        <v>4.7553999999999999E-2</v>
      </c>
      <c r="BE8">
        <v>4.5455000000000002E-2</v>
      </c>
      <c r="BF8">
        <v>4.7619000000000002E-2</v>
      </c>
      <c r="BG8">
        <v>4.4531000000000001E-2</v>
      </c>
      <c r="BH8">
        <v>4.5229999999999999E-2</v>
      </c>
      <c r="BI8">
        <v>4.4270999999999998E-2</v>
      </c>
      <c r="BJ8">
        <v>4.7794000000000003E-2</v>
      </c>
      <c r="BK8">
        <v>4.7851999999999999E-2</v>
      </c>
      <c r="BL8">
        <v>0.05</v>
      </c>
      <c r="BM8">
        <v>3.9061999999999999E-2</v>
      </c>
      <c r="BN8">
        <v>4.8077000000000002E-2</v>
      </c>
      <c r="BO8">
        <v>4.9479000000000002E-2</v>
      </c>
      <c r="BP8">
        <v>5.2557E-2</v>
      </c>
      <c r="BQ8">
        <v>4.5311999999999998E-2</v>
      </c>
      <c r="BR8">
        <v>5.5556000000000001E-2</v>
      </c>
      <c r="BS8">
        <v>4.2969E-2</v>
      </c>
      <c r="BT8">
        <v>5.8035999999999997E-2</v>
      </c>
      <c r="BU8">
        <v>5.2082999999999997E-2</v>
      </c>
      <c r="BV8">
        <v>4.0625000000000001E-2</v>
      </c>
      <c r="BW8">
        <v>8.2031000000000007E-2</v>
      </c>
      <c r="BX8">
        <v>6.25E-2</v>
      </c>
      <c r="BY8">
        <v>4.6875E-2</v>
      </c>
      <c r="BZ8">
        <v>3.125E-2</v>
      </c>
    </row>
    <row r="9" spans="3:78" x14ac:dyDescent="0.3">
      <c r="C9" s="15">
        <v>59.73399999999998</v>
      </c>
      <c r="D9" s="14">
        <v>2920</v>
      </c>
      <c r="E9" s="14">
        <v>2841</v>
      </c>
      <c r="F9" s="3">
        <v>2833</v>
      </c>
      <c r="G9" s="1">
        <f t="shared" si="0"/>
        <v>2.7807110172474482E-2</v>
      </c>
      <c r="H9" s="14">
        <f t="shared" si="1"/>
        <v>3.0709495234733496E-2</v>
      </c>
      <c r="I9" s="67">
        <v>59.73399999999998</v>
      </c>
      <c r="J9" s="34">
        <v>2920</v>
      </c>
      <c r="K9" s="34">
        <v>2841</v>
      </c>
      <c r="L9" s="35">
        <v>2833</v>
      </c>
      <c r="M9" s="34"/>
      <c r="N9" s="46">
        <v>2.7807110172474482E-2</v>
      </c>
      <c r="O9" s="34">
        <v>3.0709495234733496E-2</v>
      </c>
      <c r="Q9" s="7">
        <f t="shared" si="5"/>
        <v>0.2</v>
      </c>
      <c r="R9">
        <f t="shared" si="7"/>
        <v>0.25</v>
      </c>
      <c r="S9" s="60">
        <f t="shared" si="2"/>
        <v>0</v>
      </c>
      <c r="T9" s="57">
        <f t="shared" si="3"/>
        <v>0</v>
      </c>
      <c r="U9" s="63">
        <f t="shared" si="4"/>
        <v>0</v>
      </c>
      <c r="V9" s="8" t="str">
        <f t="shared" si="6"/>
        <v>0.20-0.25</v>
      </c>
      <c r="AH9">
        <v>4.8958000000000002E-2</v>
      </c>
      <c r="AI9">
        <v>4.3679000000000003E-2</v>
      </c>
      <c r="AJ9">
        <v>4.6511999999999998E-2</v>
      </c>
      <c r="AK9">
        <v>4.7990999999999999E-2</v>
      </c>
      <c r="AL9">
        <v>5.1067000000000001E-2</v>
      </c>
      <c r="AM9">
        <v>4.4141E-2</v>
      </c>
      <c r="AN9">
        <v>4.4470999999999997E-2</v>
      </c>
      <c r="AO9">
        <v>4.2352000000000001E-2</v>
      </c>
      <c r="AP9">
        <v>4.7719999999999999E-2</v>
      </c>
      <c r="AQ9">
        <v>4.8176999999999998E-2</v>
      </c>
      <c r="AR9">
        <v>3.9286000000000001E-2</v>
      </c>
      <c r="AS9">
        <v>4.5037000000000001E-2</v>
      </c>
      <c r="AT9">
        <v>4.0245999999999997E-2</v>
      </c>
      <c r="AU9">
        <v>4.5898000000000001E-2</v>
      </c>
      <c r="AV9">
        <v>4.7378999999999998E-2</v>
      </c>
      <c r="AW9">
        <v>4.5832999999999999E-2</v>
      </c>
      <c r="AX9">
        <v>5.0108E-2</v>
      </c>
      <c r="AY9">
        <v>4.7433000000000003E-2</v>
      </c>
      <c r="AZ9">
        <v>5.4976999999999998E-2</v>
      </c>
      <c r="BA9">
        <v>4.6274000000000003E-2</v>
      </c>
      <c r="BB9">
        <v>0.05</v>
      </c>
      <c r="BC9">
        <v>4.8828000000000003E-2</v>
      </c>
      <c r="BD9">
        <v>4.4158000000000003E-2</v>
      </c>
      <c r="BE9">
        <v>6.3920000000000005E-2</v>
      </c>
      <c r="BF9">
        <v>4.7619000000000002E-2</v>
      </c>
      <c r="BG9">
        <v>6.3281000000000004E-2</v>
      </c>
      <c r="BH9">
        <v>5.4275999999999998E-2</v>
      </c>
      <c r="BI9">
        <v>4.7743000000000001E-2</v>
      </c>
      <c r="BJ9">
        <v>5.5147000000000002E-2</v>
      </c>
      <c r="BK9">
        <v>5.4688000000000001E-2</v>
      </c>
      <c r="BL9">
        <v>5.3124999999999999E-2</v>
      </c>
      <c r="BM9">
        <v>4.2410999999999997E-2</v>
      </c>
      <c r="BN9">
        <v>5.8894000000000002E-2</v>
      </c>
      <c r="BO9">
        <v>6.5103999999999995E-2</v>
      </c>
      <c r="BP9">
        <v>6.1080000000000002E-2</v>
      </c>
      <c r="BQ9">
        <v>5.6250000000000001E-2</v>
      </c>
      <c r="BR9">
        <v>4.6875E-2</v>
      </c>
      <c r="BS9">
        <v>5.0781E-2</v>
      </c>
      <c r="BT9">
        <v>6.25E-2</v>
      </c>
      <c r="BU9">
        <v>4.9479000000000002E-2</v>
      </c>
      <c r="BV9">
        <v>5.6250000000000001E-2</v>
      </c>
      <c r="BW9">
        <v>5.8594E-2</v>
      </c>
      <c r="BX9">
        <v>4.6875E-2</v>
      </c>
      <c r="BY9">
        <v>8.5938000000000001E-2</v>
      </c>
      <c r="BZ9">
        <v>3.125E-2</v>
      </c>
    </row>
    <row r="10" spans="3:78" x14ac:dyDescent="0.3">
      <c r="C10" s="15">
        <v>58.89100000000002</v>
      </c>
      <c r="D10" s="14">
        <v>2824</v>
      </c>
      <c r="E10" s="14">
        <v>2728</v>
      </c>
      <c r="F10" s="3">
        <v>2712</v>
      </c>
      <c r="G10" s="1">
        <f t="shared" si="0"/>
        <v>3.519061583577713E-2</v>
      </c>
      <c r="H10" s="14">
        <f t="shared" si="1"/>
        <v>4.1297935103244837E-2</v>
      </c>
      <c r="I10" s="67">
        <v>58.89100000000002</v>
      </c>
      <c r="J10" s="34">
        <v>2824</v>
      </c>
      <c r="K10" s="34">
        <v>2728</v>
      </c>
      <c r="L10" s="35">
        <v>2712</v>
      </c>
      <c r="M10" s="34"/>
      <c r="N10" s="46">
        <v>3.519061583577713E-2</v>
      </c>
      <c r="O10" s="34">
        <v>4.1297935103244837E-2</v>
      </c>
      <c r="Q10" s="7">
        <f t="shared" si="5"/>
        <v>0.25</v>
      </c>
      <c r="R10">
        <f t="shared" si="7"/>
        <v>0.3</v>
      </c>
      <c r="S10" s="60">
        <f t="shared" si="2"/>
        <v>0</v>
      </c>
      <c r="T10" s="57">
        <f t="shared" si="3"/>
        <v>0</v>
      </c>
      <c r="U10" s="63">
        <f t="shared" si="4"/>
        <v>0</v>
      </c>
      <c r="V10" s="8" t="str">
        <f t="shared" si="6"/>
        <v>0.25-0.30</v>
      </c>
      <c r="AH10">
        <v>5.5556000000000001E-2</v>
      </c>
      <c r="AI10">
        <v>5.1136000000000001E-2</v>
      </c>
      <c r="AJ10">
        <v>4.6875E-2</v>
      </c>
      <c r="AK10">
        <v>5.2455000000000002E-2</v>
      </c>
      <c r="AL10">
        <v>5.0686000000000002E-2</v>
      </c>
      <c r="AM10">
        <v>4.7655999999999997E-2</v>
      </c>
      <c r="AN10">
        <v>4.8077000000000002E-2</v>
      </c>
      <c r="AO10">
        <v>5.3865000000000003E-2</v>
      </c>
      <c r="AP10">
        <v>4.4340999999999998E-2</v>
      </c>
      <c r="AQ10">
        <v>4.6875E-2</v>
      </c>
      <c r="AR10">
        <v>4.8661000000000003E-2</v>
      </c>
      <c r="AS10">
        <v>4.5496000000000002E-2</v>
      </c>
      <c r="AT10">
        <v>4.9716000000000003E-2</v>
      </c>
      <c r="AU10">
        <v>4.1503999999999999E-2</v>
      </c>
      <c r="AV10">
        <v>3.9315000000000003E-2</v>
      </c>
      <c r="AW10">
        <v>4.3749999999999997E-2</v>
      </c>
      <c r="AX10">
        <v>4.5796999999999997E-2</v>
      </c>
      <c r="AY10">
        <v>4.2969E-2</v>
      </c>
      <c r="AZ10">
        <v>3.8193999999999999E-2</v>
      </c>
      <c r="BA10">
        <v>3.6058E-2</v>
      </c>
      <c r="BB10">
        <v>4.3124999999999997E-2</v>
      </c>
      <c r="BC10">
        <v>3.7760000000000002E-2</v>
      </c>
      <c r="BD10">
        <v>4.0082E-2</v>
      </c>
      <c r="BE10">
        <v>4.6164999999999998E-2</v>
      </c>
      <c r="BF10">
        <v>4.1667000000000003E-2</v>
      </c>
      <c r="BG10">
        <v>4.6094000000000003E-2</v>
      </c>
      <c r="BH10">
        <v>3.9474000000000002E-2</v>
      </c>
      <c r="BI10">
        <v>4.7743000000000001E-2</v>
      </c>
      <c r="BJ10">
        <v>5.0550999999999999E-2</v>
      </c>
      <c r="BK10">
        <v>4.7851999999999999E-2</v>
      </c>
      <c r="BL10">
        <v>3.8542E-2</v>
      </c>
      <c r="BM10">
        <v>5.1339000000000003E-2</v>
      </c>
      <c r="BN10">
        <v>4.2067E-2</v>
      </c>
      <c r="BO10">
        <v>4.0364999999999998E-2</v>
      </c>
      <c r="BP10">
        <v>4.8294999999999998E-2</v>
      </c>
      <c r="BQ10">
        <v>4.5311999999999998E-2</v>
      </c>
      <c r="BR10">
        <v>7.2916999999999996E-2</v>
      </c>
      <c r="BS10">
        <v>7.2265999999999997E-2</v>
      </c>
      <c r="BT10">
        <v>6.25E-2</v>
      </c>
      <c r="BU10">
        <v>5.9895999999999998E-2</v>
      </c>
      <c r="BV10">
        <v>4.6875E-2</v>
      </c>
      <c r="BW10">
        <v>4.6875E-2</v>
      </c>
      <c r="BX10">
        <v>5.2082999999999997E-2</v>
      </c>
      <c r="BY10">
        <v>5.4688000000000001E-2</v>
      </c>
      <c r="BZ10">
        <v>0</v>
      </c>
    </row>
    <row r="11" spans="3:78" ht="15" thickBot="1" x14ac:dyDescent="0.35">
      <c r="C11" s="15">
        <v>59.670999999999992</v>
      </c>
      <c r="D11" s="14">
        <v>2919</v>
      </c>
      <c r="E11" s="14">
        <v>2857</v>
      </c>
      <c r="F11" s="3">
        <v>2838</v>
      </c>
      <c r="G11" s="1">
        <f t="shared" si="0"/>
        <v>2.1701085054252712E-2</v>
      </c>
      <c r="H11" s="14">
        <f t="shared" si="1"/>
        <v>2.8541226215644821E-2</v>
      </c>
      <c r="I11" s="67">
        <v>59.670999999999992</v>
      </c>
      <c r="J11" s="34">
        <v>2919</v>
      </c>
      <c r="K11" s="34">
        <v>2857</v>
      </c>
      <c r="L11" s="35">
        <v>2838</v>
      </c>
      <c r="M11" s="34"/>
      <c r="N11" s="46">
        <v>2.1701085054252712E-2</v>
      </c>
      <c r="O11" s="34">
        <v>2.8541226215644821E-2</v>
      </c>
      <c r="Q11" s="7">
        <f t="shared" si="5"/>
        <v>0.3</v>
      </c>
      <c r="R11">
        <f t="shared" si="7"/>
        <v>0.35</v>
      </c>
      <c r="S11" s="61">
        <f t="shared" si="2"/>
        <v>0</v>
      </c>
      <c r="T11" s="58">
        <f t="shared" si="3"/>
        <v>0</v>
      </c>
      <c r="U11" s="64">
        <f t="shared" si="4"/>
        <v>0</v>
      </c>
      <c r="V11" s="12" t="str">
        <f t="shared" si="6"/>
        <v>0.30-0.35</v>
      </c>
      <c r="AH11">
        <v>4.0625000000000001E-2</v>
      </c>
      <c r="AI11">
        <v>3.8706999999999998E-2</v>
      </c>
      <c r="AJ11">
        <v>4.1061E-2</v>
      </c>
      <c r="AK11">
        <v>4.3527000000000003E-2</v>
      </c>
      <c r="AL11">
        <v>3.8490999999999997E-2</v>
      </c>
      <c r="AM11">
        <v>4.1405999999999998E-2</v>
      </c>
      <c r="AN11">
        <v>4.7275999999999999E-2</v>
      </c>
      <c r="AO11">
        <v>3.8240000000000003E-2</v>
      </c>
      <c r="AP11">
        <v>4.0962999999999999E-2</v>
      </c>
      <c r="AQ11">
        <v>4.4705000000000002E-2</v>
      </c>
      <c r="AR11">
        <v>5.4463999999999999E-2</v>
      </c>
      <c r="AS11">
        <v>4.4576999999999999E-2</v>
      </c>
      <c r="AT11">
        <v>4.9716000000000003E-2</v>
      </c>
      <c r="AU11">
        <v>5.4198999999999997E-2</v>
      </c>
      <c r="AV11">
        <v>5.2922999999999998E-2</v>
      </c>
      <c r="AW11">
        <v>5.0521000000000003E-2</v>
      </c>
      <c r="AX11">
        <v>5.1723999999999999E-2</v>
      </c>
      <c r="AY11">
        <v>4.5200999999999998E-2</v>
      </c>
      <c r="AZ11">
        <v>4.5138999999999999E-2</v>
      </c>
      <c r="BA11">
        <v>4.9279000000000003E-2</v>
      </c>
      <c r="BB11">
        <v>5.4375E-2</v>
      </c>
      <c r="BC11">
        <v>5.1431999999999999E-2</v>
      </c>
      <c r="BD11">
        <v>4.9591999999999997E-2</v>
      </c>
      <c r="BE11">
        <v>3.8351999999999997E-2</v>
      </c>
      <c r="BF11">
        <v>5.3571000000000001E-2</v>
      </c>
      <c r="BG11">
        <v>0.05</v>
      </c>
      <c r="BH11">
        <v>5.3454000000000002E-2</v>
      </c>
      <c r="BI11">
        <v>5.1214999999999997E-2</v>
      </c>
      <c r="BJ11">
        <v>5.0550999999999999E-2</v>
      </c>
      <c r="BK11">
        <v>5.5663999999999998E-2</v>
      </c>
      <c r="BL11">
        <v>4.1667000000000003E-2</v>
      </c>
      <c r="BM11">
        <v>4.0178999999999999E-2</v>
      </c>
      <c r="BN11">
        <v>5.1683E-2</v>
      </c>
      <c r="BO11">
        <v>4.5573000000000002E-2</v>
      </c>
      <c r="BP11">
        <v>4.8294999999999998E-2</v>
      </c>
      <c r="BQ11">
        <v>4.8438000000000002E-2</v>
      </c>
      <c r="BR11">
        <v>5.7292000000000003E-2</v>
      </c>
      <c r="BS11">
        <v>4.6875E-2</v>
      </c>
      <c r="BT11">
        <v>5.5803999999999999E-2</v>
      </c>
      <c r="BU11">
        <v>4.4270999999999998E-2</v>
      </c>
      <c r="BV11">
        <v>7.4999999999999997E-2</v>
      </c>
      <c r="BW11">
        <v>4.2969E-2</v>
      </c>
      <c r="BX11">
        <v>4.6875E-2</v>
      </c>
      <c r="BY11">
        <v>7.0311999999999999E-2</v>
      </c>
      <c r="BZ11">
        <v>3.125E-2</v>
      </c>
    </row>
    <row r="12" spans="3:78" x14ac:dyDescent="0.3">
      <c r="C12" s="15">
        <v>60.687999999999988</v>
      </c>
      <c r="D12" s="14">
        <v>2824</v>
      </c>
      <c r="E12" s="14">
        <v>2791</v>
      </c>
      <c r="F12" s="3">
        <v>2771</v>
      </c>
      <c r="G12" s="1">
        <f t="shared" si="0"/>
        <v>1.1823719097097814E-2</v>
      </c>
      <c r="H12" s="14">
        <f t="shared" si="1"/>
        <v>1.9126669072536989E-2</v>
      </c>
      <c r="I12" s="67">
        <v>60.687999999999988</v>
      </c>
      <c r="J12" s="34">
        <v>2824</v>
      </c>
      <c r="K12" s="34">
        <v>2791</v>
      </c>
      <c r="L12" s="35">
        <v>2771</v>
      </c>
      <c r="M12" s="34"/>
      <c r="N12" s="46">
        <v>1.1823719097097814E-2</v>
      </c>
      <c r="O12" s="34">
        <v>1.9126669072536989E-2</v>
      </c>
      <c r="Q12" s="7">
        <f t="shared" si="5"/>
        <v>0.35</v>
      </c>
      <c r="R12">
        <f>1</f>
        <v>1</v>
      </c>
      <c r="S12">
        <v>30</v>
      </c>
      <c r="T12">
        <v>30</v>
      </c>
      <c r="V12" t="s">
        <v>92</v>
      </c>
      <c r="AH12">
        <v>0.05</v>
      </c>
      <c r="AI12">
        <v>5.5043000000000002E-2</v>
      </c>
      <c r="AJ12">
        <v>4.9782E-2</v>
      </c>
      <c r="AK12">
        <v>4.8735000000000001E-2</v>
      </c>
      <c r="AL12">
        <v>5.3734999999999998E-2</v>
      </c>
      <c r="AM12">
        <v>4.9609E-2</v>
      </c>
      <c r="AN12">
        <v>4.6474000000000001E-2</v>
      </c>
      <c r="AO12">
        <v>4.8931000000000002E-2</v>
      </c>
      <c r="AP12">
        <v>5.3631999999999999E-2</v>
      </c>
      <c r="AQ12">
        <v>5.5556000000000001E-2</v>
      </c>
      <c r="AR12">
        <v>5.3124999999999999E-2</v>
      </c>
      <c r="AS12">
        <v>5.2849E-2</v>
      </c>
      <c r="AT12">
        <v>6.0132999999999999E-2</v>
      </c>
      <c r="AU12">
        <v>4.9315999999999999E-2</v>
      </c>
      <c r="AV12">
        <v>4.9898999999999999E-2</v>
      </c>
      <c r="AW12">
        <v>5.8333000000000003E-2</v>
      </c>
      <c r="AX12">
        <v>3.8793000000000001E-2</v>
      </c>
      <c r="AY12">
        <v>5.0222999999999997E-2</v>
      </c>
      <c r="AZ12">
        <v>5.0347000000000003E-2</v>
      </c>
      <c r="BA12">
        <v>4.6274000000000003E-2</v>
      </c>
      <c r="BB12">
        <v>5.6875000000000002E-2</v>
      </c>
      <c r="BC12">
        <v>5.0781E-2</v>
      </c>
      <c r="BD12">
        <v>5.0951000000000003E-2</v>
      </c>
      <c r="BE12">
        <v>4.6164999999999998E-2</v>
      </c>
      <c r="BF12">
        <v>5.6548000000000001E-2</v>
      </c>
      <c r="BG12">
        <v>5.4688000000000001E-2</v>
      </c>
      <c r="BH12">
        <v>5.2631999999999998E-2</v>
      </c>
      <c r="BI12">
        <v>5.3818999999999999E-2</v>
      </c>
      <c r="BJ12">
        <v>5.6985000000000001E-2</v>
      </c>
      <c r="BK12">
        <v>4.1015999999999997E-2</v>
      </c>
      <c r="BL12">
        <v>3.8542E-2</v>
      </c>
      <c r="BM12">
        <v>4.6875E-2</v>
      </c>
      <c r="BN12">
        <v>5.7692E-2</v>
      </c>
      <c r="BO12">
        <v>5.0781E-2</v>
      </c>
      <c r="BP12">
        <v>5.8238999999999999E-2</v>
      </c>
      <c r="BQ12">
        <v>5.9374999999999997E-2</v>
      </c>
      <c r="BR12">
        <v>4.3402999999999997E-2</v>
      </c>
      <c r="BS12">
        <v>4.6875E-2</v>
      </c>
      <c r="BT12">
        <v>5.3571000000000001E-2</v>
      </c>
      <c r="BU12">
        <v>5.7292000000000003E-2</v>
      </c>
      <c r="BV12">
        <v>5.6250000000000001E-2</v>
      </c>
      <c r="BW12">
        <v>5.0781E-2</v>
      </c>
      <c r="BX12">
        <v>8.3333000000000004E-2</v>
      </c>
      <c r="BY12">
        <v>6.25E-2</v>
      </c>
      <c r="BZ12">
        <v>0.109375</v>
      </c>
    </row>
    <row r="13" spans="3:78" x14ac:dyDescent="0.3">
      <c r="C13" s="15">
        <v>59.734000000000037</v>
      </c>
      <c r="D13" s="14">
        <v>2975</v>
      </c>
      <c r="E13" s="14">
        <v>2903</v>
      </c>
      <c r="F13" s="3">
        <v>2903</v>
      </c>
      <c r="G13" s="1">
        <f t="shared" si="0"/>
        <v>2.4801929038925249E-2</v>
      </c>
      <c r="H13" s="14">
        <f t="shared" si="1"/>
        <v>2.4801929038925249E-2</v>
      </c>
      <c r="I13" s="67">
        <v>59.734000000000037</v>
      </c>
      <c r="J13" s="34">
        <v>2975</v>
      </c>
      <c r="K13" s="34">
        <v>2903</v>
      </c>
      <c r="L13" s="35">
        <v>2903</v>
      </c>
      <c r="M13" s="34"/>
      <c r="N13" s="46">
        <v>2.4801929038925249E-2</v>
      </c>
      <c r="O13" s="34">
        <v>2.4801929038925249E-2</v>
      </c>
      <c r="S13">
        <f>SUM(S5:S11)</f>
        <v>0</v>
      </c>
      <c r="T13">
        <f>SUM(T5:T11)</f>
        <v>1</v>
      </c>
      <c r="U13">
        <f>SUM(U5:U11)</f>
        <v>1</v>
      </c>
      <c r="AH13">
        <v>7.0832999999999993E-2</v>
      </c>
      <c r="AI13">
        <v>7.1733000000000005E-2</v>
      </c>
      <c r="AJ13">
        <v>5.6322999999999998E-2</v>
      </c>
      <c r="AK13">
        <v>6.2128000000000003E-2</v>
      </c>
      <c r="AL13">
        <v>6.2119000000000001E-2</v>
      </c>
      <c r="AM13">
        <v>5.8594E-2</v>
      </c>
      <c r="AN13">
        <v>5.4087000000000003E-2</v>
      </c>
      <c r="AO13">
        <v>5.4688000000000001E-2</v>
      </c>
      <c r="AP13">
        <v>5.4475999999999997E-2</v>
      </c>
      <c r="AQ13">
        <v>5.3818999999999999E-2</v>
      </c>
      <c r="AR13">
        <v>4.5088999999999997E-2</v>
      </c>
      <c r="AS13">
        <v>5.0550999999999999E-2</v>
      </c>
      <c r="AT13">
        <v>5.8238999999999999E-2</v>
      </c>
      <c r="AU13">
        <v>5.8104999999999997E-2</v>
      </c>
      <c r="AV13">
        <v>5.7964000000000002E-2</v>
      </c>
      <c r="AW13">
        <v>4.3228999999999997E-2</v>
      </c>
      <c r="AX13">
        <v>5.2262999999999997E-2</v>
      </c>
      <c r="AY13">
        <v>5.3571000000000001E-2</v>
      </c>
      <c r="AZ13">
        <v>4.6875E-2</v>
      </c>
      <c r="BA13">
        <v>5.1683E-2</v>
      </c>
      <c r="BB13">
        <v>4.9375000000000002E-2</v>
      </c>
      <c r="BC13">
        <v>5.4036000000000001E-2</v>
      </c>
      <c r="BD13">
        <v>4.8233999999999999E-2</v>
      </c>
      <c r="BE13">
        <v>5.8238999999999999E-2</v>
      </c>
      <c r="BF13">
        <v>5.8779999999999999E-2</v>
      </c>
      <c r="BG13">
        <v>6.1719000000000003E-2</v>
      </c>
      <c r="BH13">
        <v>6.3322000000000003E-2</v>
      </c>
      <c r="BI13">
        <v>5.9895999999999998E-2</v>
      </c>
      <c r="BJ13">
        <v>5.8824000000000001E-2</v>
      </c>
      <c r="BK13">
        <v>4.2969E-2</v>
      </c>
      <c r="BL13">
        <v>0.05</v>
      </c>
      <c r="BM13">
        <v>5.4688000000000001E-2</v>
      </c>
      <c r="BN13">
        <v>5.7692E-2</v>
      </c>
      <c r="BO13">
        <v>5.0781E-2</v>
      </c>
      <c r="BP13">
        <v>5.2557E-2</v>
      </c>
      <c r="BQ13">
        <v>7.4999999999999997E-2</v>
      </c>
      <c r="BR13">
        <v>5.7292000000000003E-2</v>
      </c>
      <c r="BS13">
        <v>4.2969E-2</v>
      </c>
      <c r="BT13">
        <v>5.5803999999999999E-2</v>
      </c>
      <c r="BU13">
        <v>5.9895999999999998E-2</v>
      </c>
      <c r="BV13">
        <v>5.3124999999999999E-2</v>
      </c>
      <c r="BW13">
        <v>5.0781E-2</v>
      </c>
      <c r="BX13">
        <v>7.2916999999999996E-2</v>
      </c>
      <c r="BY13">
        <v>6.25E-2</v>
      </c>
      <c r="BZ13">
        <v>4.6875E-2</v>
      </c>
    </row>
    <row r="14" spans="3:78" x14ac:dyDescent="0.3">
      <c r="C14" s="15">
        <v>58.547000000000025</v>
      </c>
      <c r="D14" s="14">
        <v>2897</v>
      </c>
      <c r="E14" s="14">
        <v>2845</v>
      </c>
      <c r="F14" s="3">
        <v>2837</v>
      </c>
      <c r="G14" s="1">
        <f t="shared" si="0"/>
        <v>1.8277680140597538E-2</v>
      </c>
      <c r="H14" s="14">
        <f t="shared" si="1"/>
        <v>2.1149101163200564E-2</v>
      </c>
      <c r="I14" s="67">
        <v>58.547000000000025</v>
      </c>
      <c r="J14" s="34">
        <v>2897</v>
      </c>
      <c r="K14" s="34">
        <v>2845</v>
      </c>
      <c r="L14" s="35">
        <v>2837</v>
      </c>
      <c r="M14" s="34"/>
      <c r="N14" s="46">
        <v>1.8277680140597538E-2</v>
      </c>
      <c r="O14" s="34">
        <v>2.1149101163200564E-2</v>
      </c>
      <c r="AH14">
        <v>5.5556000000000001E-2</v>
      </c>
      <c r="AI14">
        <v>5.0781E-2</v>
      </c>
      <c r="AJ14">
        <v>5.6686E-2</v>
      </c>
      <c r="AK14">
        <v>6.25E-2</v>
      </c>
      <c r="AL14">
        <v>5.6784000000000001E-2</v>
      </c>
      <c r="AM14">
        <v>5.3124999999999999E-2</v>
      </c>
      <c r="AN14">
        <v>5.7692E-2</v>
      </c>
      <c r="AO14">
        <v>5.3865000000000003E-2</v>
      </c>
      <c r="AP14">
        <v>5.7431999999999997E-2</v>
      </c>
      <c r="AQ14">
        <v>6.2066000000000003E-2</v>
      </c>
      <c r="AR14">
        <v>5.8929000000000002E-2</v>
      </c>
      <c r="AS14">
        <v>5.4688000000000001E-2</v>
      </c>
      <c r="AT14">
        <v>5.0188999999999998E-2</v>
      </c>
      <c r="AU14">
        <v>5.6640999999999997E-2</v>
      </c>
      <c r="AV14">
        <v>5.8467999999999999E-2</v>
      </c>
      <c r="AW14">
        <v>5.3124999999999999E-2</v>
      </c>
      <c r="AX14">
        <v>5.6572999999999998E-2</v>
      </c>
      <c r="AY14">
        <v>5.3012999999999998E-2</v>
      </c>
      <c r="AZ14">
        <v>5.2082999999999997E-2</v>
      </c>
      <c r="BA14">
        <v>5.7091000000000003E-2</v>
      </c>
      <c r="BB14">
        <v>5.7500000000000002E-2</v>
      </c>
      <c r="BC14">
        <v>5.2734000000000003E-2</v>
      </c>
      <c r="BD14">
        <v>5.7064999999999998E-2</v>
      </c>
      <c r="BE14">
        <v>5.8949000000000001E-2</v>
      </c>
      <c r="BF14">
        <v>4.4643000000000002E-2</v>
      </c>
      <c r="BG14">
        <v>5.3906000000000003E-2</v>
      </c>
      <c r="BH14">
        <v>5.0164E-2</v>
      </c>
      <c r="BI14">
        <v>5.4688000000000001E-2</v>
      </c>
      <c r="BJ14">
        <v>5.5147000000000002E-2</v>
      </c>
      <c r="BK14">
        <v>4.1992000000000002E-2</v>
      </c>
      <c r="BL14">
        <v>5.3124999999999999E-2</v>
      </c>
      <c r="BM14">
        <v>6.1384000000000001E-2</v>
      </c>
      <c r="BN14">
        <v>6.1297999999999998E-2</v>
      </c>
      <c r="BO14">
        <v>5.8594E-2</v>
      </c>
      <c r="BP14">
        <v>5.9658999999999997E-2</v>
      </c>
      <c r="BQ14">
        <v>5.1561999999999997E-2</v>
      </c>
      <c r="BR14">
        <v>4.3402999999999997E-2</v>
      </c>
      <c r="BS14">
        <v>5.4688000000000001E-2</v>
      </c>
      <c r="BT14">
        <v>6.4731999999999998E-2</v>
      </c>
      <c r="BU14">
        <v>3.6457999999999997E-2</v>
      </c>
      <c r="BV14">
        <v>0.56874999999999998</v>
      </c>
      <c r="BW14">
        <v>0.12890599999999999</v>
      </c>
      <c r="BX14">
        <v>0.140625</v>
      </c>
      <c r="BY14">
        <v>0.24218799999999999</v>
      </c>
      <c r="BZ14">
        <v>0.40625</v>
      </c>
    </row>
    <row r="15" spans="3:78" x14ac:dyDescent="0.3">
      <c r="C15" s="15">
        <v>58.937999999999988</v>
      </c>
      <c r="D15" s="14">
        <v>3011</v>
      </c>
      <c r="E15" s="14">
        <v>2863</v>
      </c>
      <c r="F15" s="3">
        <v>2857</v>
      </c>
      <c r="G15" s="1">
        <f t="shared" si="0"/>
        <v>5.1694027244149496E-2</v>
      </c>
      <c r="H15" s="14">
        <f t="shared" si="1"/>
        <v>5.3902695134756741E-2</v>
      </c>
      <c r="I15" s="67">
        <v>58.937999999999988</v>
      </c>
      <c r="J15" s="34">
        <v>3011</v>
      </c>
      <c r="K15" s="34">
        <v>2863</v>
      </c>
      <c r="L15" s="35">
        <v>2857</v>
      </c>
      <c r="M15" s="34"/>
      <c r="N15" s="46">
        <v>5.1694027244149496E-2</v>
      </c>
      <c r="O15" s="34">
        <v>5.3902695134756741E-2</v>
      </c>
      <c r="AH15">
        <v>0.388542</v>
      </c>
      <c r="AI15">
        <v>0.383878</v>
      </c>
      <c r="AJ15">
        <v>0.38190400000000002</v>
      </c>
      <c r="AK15">
        <v>0.37685999999999997</v>
      </c>
      <c r="AL15">
        <v>0.38376500000000002</v>
      </c>
      <c r="AM15">
        <v>0.36992199999999997</v>
      </c>
      <c r="AN15">
        <v>0.37179499999999999</v>
      </c>
      <c r="AO15">
        <v>0.20846999999999999</v>
      </c>
      <c r="AP15">
        <v>7.4324000000000001E-2</v>
      </c>
      <c r="AQ15">
        <v>7.6388999999999999E-2</v>
      </c>
      <c r="AR15">
        <v>7.8571000000000002E-2</v>
      </c>
      <c r="AS15">
        <v>7.3988999999999999E-2</v>
      </c>
      <c r="AT15">
        <v>7.5758000000000006E-2</v>
      </c>
      <c r="AU15">
        <v>6.6406000000000007E-2</v>
      </c>
      <c r="AV15">
        <v>8.1148999999999999E-2</v>
      </c>
      <c r="AW15">
        <v>7.5521000000000005E-2</v>
      </c>
      <c r="AX15">
        <v>7.5969999999999996E-2</v>
      </c>
      <c r="AY15">
        <v>7.1986999999999995E-2</v>
      </c>
      <c r="AZ15">
        <v>8.2175999999999999E-2</v>
      </c>
      <c r="BA15">
        <v>8.4135000000000001E-2</v>
      </c>
      <c r="BB15">
        <v>6.8125000000000005E-2</v>
      </c>
      <c r="BC15">
        <v>7.4218999999999993E-2</v>
      </c>
      <c r="BD15">
        <v>7.4049000000000004E-2</v>
      </c>
      <c r="BE15">
        <v>8.0255999999999994E-2</v>
      </c>
      <c r="BF15">
        <v>6.6220000000000001E-2</v>
      </c>
      <c r="BG15">
        <v>6.9530999999999996E-2</v>
      </c>
      <c r="BH15">
        <v>6.9901000000000005E-2</v>
      </c>
      <c r="BI15">
        <v>7.6388999999999999E-2</v>
      </c>
      <c r="BJ15">
        <v>6.3419000000000003E-2</v>
      </c>
      <c r="BK15">
        <v>7.1289000000000005E-2</v>
      </c>
      <c r="BL15">
        <v>8.0208000000000002E-2</v>
      </c>
      <c r="BM15">
        <v>7.9241000000000006E-2</v>
      </c>
      <c r="BN15">
        <v>7.4519000000000002E-2</v>
      </c>
      <c r="BO15">
        <v>5.8594E-2</v>
      </c>
      <c r="BP15">
        <v>6.5340999999999996E-2</v>
      </c>
      <c r="BQ15">
        <v>8.1250000000000003E-2</v>
      </c>
      <c r="BR15">
        <v>7.2916999999999996E-2</v>
      </c>
      <c r="BS15">
        <v>7.6172000000000004E-2</v>
      </c>
      <c r="BT15">
        <v>5.8035999999999997E-2</v>
      </c>
      <c r="BU15">
        <v>9.375E-2</v>
      </c>
      <c r="BV15">
        <v>6.5625000000000003E-2</v>
      </c>
      <c r="BW15">
        <v>6.25E-2</v>
      </c>
      <c r="BX15">
        <v>7.2916999999999996E-2</v>
      </c>
      <c r="BY15">
        <v>3.9061999999999999E-2</v>
      </c>
      <c r="BZ15">
        <v>4.6875E-2</v>
      </c>
    </row>
    <row r="16" spans="3:78" x14ac:dyDescent="0.3">
      <c r="C16" s="15">
        <v>63.077999999999975</v>
      </c>
      <c r="D16" s="14">
        <v>2829</v>
      </c>
      <c r="E16" s="14">
        <v>2768</v>
      </c>
      <c r="F16" s="3">
        <v>2744</v>
      </c>
      <c r="G16" s="1">
        <f t="shared" si="0"/>
        <v>2.203757225433526E-2</v>
      </c>
      <c r="H16" s="14">
        <f t="shared" si="1"/>
        <v>3.0976676384839651E-2</v>
      </c>
      <c r="I16" s="67">
        <v>63.077999999999975</v>
      </c>
      <c r="J16" s="34">
        <v>2829</v>
      </c>
      <c r="K16" s="34">
        <v>2768</v>
      </c>
      <c r="L16" s="35">
        <v>2744</v>
      </c>
      <c r="M16" s="34"/>
      <c r="N16" s="46">
        <v>2.203757225433526E-2</v>
      </c>
      <c r="O16" s="34">
        <v>3.0976676384839651E-2</v>
      </c>
      <c r="AH16">
        <v>4.0625000000000001E-2</v>
      </c>
      <c r="AI16">
        <v>6.6050999999999999E-2</v>
      </c>
      <c r="AJ16">
        <v>8.4666000000000005E-2</v>
      </c>
      <c r="AK16">
        <v>7.8125E-2</v>
      </c>
      <c r="AL16">
        <v>7.9648999999999998E-2</v>
      </c>
      <c r="AM16">
        <v>7.2655999999999998E-2</v>
      </c>
      <c r="AN16">
        <v>5.5689000000000002E-2</v>
      </c>
      <c r="AO16">
        <v>5.9622000000000001E-2</v>
      </c>
      <c r="AP16">
        <v>6.4611000000000002E-2</v>
      </c>
      <c r="AQ16">
        <v>6.7274E-2</v>
      </c>
      <c r="AR16">
        <v>7.0088999999999999E-2</v>
      </c>
      <c r="AS16">
        <v>7.2609999999999994E-2</v>
      </c>
      <c r="AT16">
        <v>7.2442999999999994E-2</v>
      </c>
      <c r="AU16">
        <v>6.0059000000000001E-2</v>
      </c>
      <c r="AV16">
        <v>7.2077000000000002E-2</v>
      </c>
      <c r="AW16">
        <v>6.0936999999999998E-2</v>
      </c>
      <c r="AX16">
        <v>5.8189999999999999E-2</v>
      </c>
      <c r="AY16">
        <v>7.1429000000000006E-2</v>
      </c>
      <c r="AZ16">
        <v>6.7708000000000004E-2</v>
      </c>
      <c r="BA16">
        <v>6.9111000000000006E-2</v>
      </c>
      <c r="BB16">
        <v>7.1249999999999994E-2</v>
      </c>
      <c r="BC16">
        <v>6.3801999999999998E-2</v>
      </c>
      <c r="BD16">
        <v>6.6575999999999996E-2</v>
      </c>
      <c r="BE16">
        <v>6.5340999999999996E-2</v>
      </c>
      <c r="BF16">
        <v>6.3988000000000003E-2</v>
      </c>
      <c r="BG16">
        <v>6.6406000000000007E-2</v>
      </c>
      <c r="BH16">
        <v>6.0033000000000003E-2</v>
      </c>
      <c r="BI16">
        <v>7.5521000000000005E-2</v>
      </c>
      <c r="BJ16">
        <v>7.3528999999999997E-2</v>
      </c>
      <c r="BK16">
        <v>7.5194999999999998E-2</v>
      </c>
      <c r="BL16">
        <v>7.3957999999999996E-2</v>
      </c>
      <c r="BM16">
        <v>5.3571000000000001E-2</v>
      </c>
      <c r="BN16">
        <v>7.0913000000000004E-2</v>
      </c>
      <c r="BO16">
        <v>7.5521000000000005E-2</v>
      </c>
      <c r="BP16">
        <v>8.9488999999999999E-2</v>
      </c>
      <c r="BQ16">
        <v>7.6563000000000006E-2</v>
      </c>
      <c r="BR16">
        <v>8.1597000000000003E-2</v>
      </c>
      <c r="BS16">
        <v>9.1797000000000004E-2</v>
      </c>
      <c r="BT16">
        <v>0.10044599999999999</v>
      </c>
      <c r="BU16">
        <v>9.375E-2</v>
      </c>
      <c r="BV16">
        <v>7.4999999999999997E-2</v>
      </c>
      <c r="BW16">
        <v>7.8125E-2</v>
      </c>
      <c r="BX16">
        <v>9.8958000000000004E-2</v>
      </c>
      <c r="BY16">
        <v>9.375E-2</v>
      </c>
      <c r="BZ16">
        <v>0.109375</v>
      </c>
    </row>
    <row r="17" spans="3:78" x14ac:dyDescent="0.3">
      <c r="C17" s="15">
        <v>59.889999999999986</v>
      </c>
      <c r="D17" s="14">
        <v>2930</v>
      </c>
      <c r="E17" s="14">
        <v>2824</v>
      </c>
      <c r="F17" s="3">
        <v>2805</v>
      </c>
      <c r="G17" s="1">
        <f t="shared" si="0"/>
        <v>3.7535410764872525E-2</v>
      </c>
      <c r="H17" s="14">
        <f t="shared" si="1"/>
        <v>4.4563279857397504E-2</v>
      </c>
      <c r="I17" s="67">
        <v>59.889999999999986</v>
      </c>
      <c r="J17" s="34">
        <v>2930</v>
      </c>
      <c r="K17" s="34">
        <v>2824</v>
      </c>
      <c r="L17" s="35">
        <v>2805</v>
      </c>
      <c r="M17" s="34"/>
      <c r="N17" s="46">
        <v>3.7535410764872525E-2</v>
      </c>
      <c r="O17" s="34">
        <v>4.4563279857397504E-2</v>
      </c>
      <c r="AH17">
        <v>7.1527999999999994E-2</v>
      </c>
      <c r="AI17">
        <v>7.4928999999999996E-2</v>
      </c>
      <c r="AJ17">
        <v>8.0305000000000001E-2</v>
      </c>
      <c r="AK17">
        <v>7.8125E-2</v>
      </c>
      <c r="AL17">
        <v>8.0793000000000004E-2</v>
      </c>
      <c r="AM17">
        <v>8.1641000000000005E-2</v>
      </c>
      <c r="AN17">
        <v>6.5705E-2</v>
      </c>
      <c r="AO17">
        <v>7.3191000000000006E-2</v>
      </c>
      <c r="AP17">
        <v>6.7989999999999995E-2</v>
      </c>
      <c r="AQ17">
        <v>7.0747000000000004E-2</v>
      </c>
      <c r="AR17">
        <v>6.4731999999999998E-2</v>
      </c>
      <c r="AS17">
        <v>6.3419000000000003E-2</v>
      </c>
      <c r="AT17">
        <v>6.1552999999999997E-2</v>
      </c>
      <c r="AU17">
        <v>5.8594E-2</v>
      </c>
      <c r="AV17">
        <v>5.9476000000000001E-2</v>
      </c>
      <c r="AW17">
        <v>7.5521000000000005E-2</v>
      </c>
      <c r="AX17">
        <v>5.8189999999999999E-2</v>
      </c>
      <c r="AY17">
        <v>5.5246000000000003E-2</v>
      </c>
      <c r="AZ17">
        <v>5.2082999999999997E-2</v>
      </c>
      <c r="BA17">
        <v>5.0480999999999998E-2</v>
      </c>
      <c r="BB17">
        <v>0.05</v>
      </c>
      <c r="BC17">
        <v>5.3385000000000002E-2</v>
      </c>
      <c r="BD17">
        <v>6.1141000000000001E-2</v>
      </c>
      <c r="BE17">
        <v>5.6818E-2</v>
      </c>
      <c r="BF17">
        <v>6.0268000000000002E-2</v>
      </c>
      <c r="BG17">
        <v>5.2344000000000002E-2</v>
      </c>
      <c r="BH17">
        <v>5.5920999999999998E-2</v>
      </c>
      <c r="BI17">
        <v>5.4688000000000001E-2</v>
      </c>
      <c r="BJ17">
        <v>5.3309000000000002E-2</v>
      </c>
      <c r="BK17">
        <v>5.5663999999999998E-2</v>
      </c>
      <c r="BL17">
        <v>6.6667000000000004E-2</v>
      </c>
      <c r="BM17">
        <v>5.3571000000000001E-2</v>
      </c>
      <c r="BN17">
        <v>5.8894000000000002E-2</v>
      </c>
      <c r="BO17">
        <v>6.9010000000000002E-2</v>
      </c>
      <c r="BP17">
        <v>6.5340999999999996E-2</v>
      </c>
      <c r="BQ17">
        <v>5.1561999999999997E-2</v>
      </c>
      <c r="BR17">
        <v>6.7708000000000004E-2</v>
      </c>
      <c r="BS17">
        <v>5.2734000000000003E-2</v>
      </c>
      <c r="BT17">
        <v>5.1339000000000003E-2</v>
      </c>
      <c r="BU17">
        <v>6.5103999999999995E-2</v>
      </c>
      <c r="BV17">
        <v>4.6875E-2</v>
      </c>
      <c r="BW17">
        <v>6.25E-2</v>
      </c>
      <c r="BX17">
        <v>8.3333000000000004E-2</v>
      </c>
      <c r="BY17">
        <v>6.25E-2</v>
      </c>
      <c r="BZ17">
        <v>4.6875E-2</v>
      </c>
    </row>
    <row r="18" spans="3:78" x14ac:dyDescent="0.3">
      <c r="C18" s="15">
        <v>59.687999999999988</v>
      </c>
      <c r="D18" s="14">
        <v>2833</v>
      </c>
      <c r="E18" s="14">
        <v>2740</v>
      </c>
      <c r="F18" s="3">
        <v>2716</v>
      </c>
      <c r="G18" s="1">
        <f t="shared" si="0"/>
        <v>3.3941605839416057E-2</v>
      </c>
      <c r="H18" s="14">
        <f t="shared" si="1"/>
        <v>4.3078055964653902E-2</v>
      </c>
      <c r="I18" s="67">
        <v>59.687999999999988</v>
      </c>
      <c r="J18" s="34">
        <v>2833</v>
      </c>
      <c r="K18" s="34">
        <v>2740</v>
      </c>
      <c r="L18" s="35">
        <v>2716</v>
      </c>
      <c r="M18" s="34"/>
      <c r="N18" s="46">
        <v>3.3941605839416057E-2</v>
      </c>
      <c r="O18" s="34">
        <v>4.3078055964653902E-2</v>
      </c>
      <c r="AH18">
        <v>5.5208E-2</v>
      </c>
      <c r="AI18">
        <v>6.25E-2</v>
      </c>
      <c r="AJ18">
        <v>5.6322999999999998E-2</v>
      </c>
      <c r="AK18">
        <v>5.7292000000000003E-2</v>
      </c>
      <c r="AL18">
        <v>5.7546E-2</v>
      </c>
      <c r="AM18">
        <v>5.7030999999999998E-2</v>
      </c>
      <c r="AN18">
        <v>5.3284999999999999E-2</v>
      </c>
      <c r="AO18">
        <v>5.1809000000000001E-2</v>
      </c>
      <c r="AP18">
        <v>5.5321000000000002E-2</v>
      </c>
      <c r="AQ18">
        <v>5.3818999999999999E-2</v>
      </c>
      <c r="AR18">
        <v>5.2232000000000001E-2</v>
      </c>
      <c r="AS18">
        <v>5.3768000000000003E-2</v>
      </c>
      <c r="AT18">
        <v>5.8712E-2</v>
      </c>
      <c r="AU18">
        <v>6.7382999999999998E-2</v>
      </c>
      <c r="AV18">
        <v>5.1915000000000003E-2</v>
      </c>
      <c r="AW18">
        <v>6.0416999999999998E-2</v>
      </c>
      <c r="AX18">
        <v>6.3577999999999996E-2</v>
      </c>
      <c r="AY18">
        <v>5.5246000000000003E-2</v>
      </c>
      <c r="AZ18">
        <v>6.1920999999999997E-2</v>
      </c>
      <c r="BA18">
        <v>6.0095999999999997E-2</v>
      </c>
      <c r="BB18">
        <v>5.7500000000000002E-2</v>
      </c>
      <c r="BC18">
        <v>5.3385000000000002E-2</v>
      </c>
      <c r="BD18">
        <v>5.2310000000000002E-2</v>
      </c>
      <c r="BE18">
        <v>5.8238999999999999E-2</v>
      </c>
      <c r="BF18">
        <v>5.9524000000000001E-2</v>
      </c>
      <c r="BG18">
        <v>4.9218999999999999E-2</v>
      </c>
      <c r="BH18">
        <v>5.5099000000000002E-2</v>
      </c>
      <c r="BI18">
        <v>5.5556000000000001E-2</v>
      </c>
      <c r="BJ18">
        <v>6.0662000000000001E-2</v>
      </c>
      <c r="BK18">
        <v>6.25E-2</v>
      </c>
      <c r="BL18">
        <v>5.7292000000000003E-2</v>
      </c>
      <c r="BM18">
        <v>5.6919999999999998E-2</v>
      </c>
      <c r="BN18">
        <v>5.7692E-2</v>
      </c>
      <c r="BO18">
        <v>5.7292000000000003E-2</v>
      </c>
      <c r="BP18">
        <v>7.2442999999999994E-2</v>
      </c>
      <c r="BQ18">
        <v>5.9374999999999997E-2</v>
      </c>
      <c r="BR18">
        <v>5.5556000000000001E-2</v>
      </c>
      <c r="BS18">
        <v>5.2734000000000003E-2</v>
      </c>
      <c r="BT18">
        <v>5.8035999999999997E-2</v>
      </c>
      <c r="BU18">
        <v>7.0311999999999999E-2</v>
      </c>
      <c r="BV18">
        <v>6.25E-2</v>
      </c>
      <c r="BW18">
        <v>7.0311999999999999E-2</v>
      </c>
      <c r="BX18">
        <v>6.25E-2</v>
      </c>
      <c r="BY18">
        <v>5.4688000000000001E-2</v>
      </c>
      <c r="BZ18">
        <v>3.125E-2</v>
      </c>
    </row>
    <row r="19" spans="3:78" x14ac:dyDescent="0.3">
      <c r="C19" s="15">
        <v>61.375</v>
      </c>
      <c r="D19" s="14">
        <v>3051</v>
      </c>
      <c r="E19" s="14">
        <v>2836</v>
      </c>
      <c r="F19" s="3">
        <v>2836</v>
      </c>
      <c r="G19" s="1">
        <f t="shared" si="0"/>
        <v>7.5811001410437229E-2</v>
      </c>
      <c r="H19" s="14">
        <f t="shared" si="1"/>
        <v>7.5811001410437229E-2</v>
      </c>
      <c r="I19" s="67">
        <v>61.375</v>
      </c>
      <c r="J19" s="34">
        <v>3051</v>
      </c>
      <c r="K19" s="34">
        <v>2836</v>
      </c>
      <c r="L19" s="35">
        <v>2836</v>
      </c>
      <c r="M19" s="34"/>
      <c r="N19" s="46">
        <v>7.5811001410437229E-2</v>
      </c>
      <c r="O19" s="34">
        <v>7.5811001410437229E-2</v>
      </c>
      <c r="AH19">
        <v>6.4583000000000002E-2</v>
      </c>
      <c r="AI19">
        <v>5.2201999999999998E-2</v>
      </c>
      <c r="AJ19">
        <v>5.9229999999999998E-2</v>
      </c>
      <c r="AK19">
        <v>5.5803999999999999E-2</v>
      </c>
      <c r="AL19">
        <v>6.3261999999999999E-2</v>
      </c>
      <c r="AM19">
        <v>5.2344000000000002E-2</v>
      </c>
      <c r="AN19">
        <v>5.7292000000000003E-2</v>
      </c>
      <c r="AO19">
        <v>5.3043E-2</v>
      </c>
      <c r="AP19">
        <v>5.4899000000000003E-2</v>
      </c>
      <c r="AQ19">
        <v>4.9044999999999998E-2</v>
      </c>
      <c r="AR19">
        <v>7.6785999999999993E-2</v>
      </c>
      <c r="AS19">
        <v>6.5256999999999996E-2</v>
      </c>
      <c r="AT19">
        <v>5.0663E-2</v>
      </c>
      <c r="AU19">
        <v>5.2734000000000003E-2</v>
      </c>
      <c r="AV19">
        <v>4.6875E-2</v>
      </c>
      <c r="AW19">
        <v>6.7186999999999997E-2</v>
      </c>
      <c r="AX19">
        <v>7.0582000000000006E-2</v>
      </c>
      <c r="AY19">
        <v>5.6919999999999998E-2</v>
      </c>
      <c r="AZ19">
        <v>5.9027999999999997E-2</v>
      </c>
      <c r="BA19">
        <v>5.8894000000000002E-2</v>
      </c>
      <c r="BB19">
        <v>6.3750000000000001E-2</v>
      </c>
      <c r="BC19">
        <v>5.2734000000000003E-2</v>
      </c>
      <c r="BD19">
        <v>5.9783000000000003E-2</v>
      </c>
      <c r="BE19">
        <v>5.7528000000000003E-2</v>
      </c>
      <c r="BF19">
        <v>5.5803999999999999E-2</v>
      </c>
      <c r="BG19">
        <v>0.05</v>
      </c>
      <c r="BH19">
        <v>6.4966999999999997E-2</v>
      </c>
      <c r="BI19">
        <v>5.9027999999999997E-2</v>
      </c>
      <c r="BJ19">
        <v>6.7096000000000003E-2</v>
      </c>
      <c r="BK19">
        <v>7.0311999999999999E-2</v>
      </c>
      <c r="BL19">
        <v>6.3542000000000001E-2</v>
      </c>
      <c r="BM19">
        <v>5.9152000000000003E-2</v>
      </c>
      <c r="BN19">
        <v>6.3701999999999995E-2</v>
      </c>
      <c r="BO19">
        <v>5.4688000000000001E-2</v>
      </c>
      <c r="BP19">
        <v>5.3976999999999997E-2</v>
      </c>
      <c r="BQ19">
        <v>6.0936999999999998E-2</v>
      </c>
      <c r="BR19">
        <v>5.3818999999999999E-2</v>
      </c>
      <c r="BS19">
        <v>7.6172000000000004E-2</v>
      </c>
      <c r="BT19">
        <v>5.3571000000000001E-2</v>
      </c>
      <c r="BU19">
        <v>5.7292000000000003E-2</v>
      </c>
      <c r="BV19">
        <v>6.8750000000000006E-2</v>
      </c>
      <c r="BW19">
        <v>7.8125E-2</v>
      </c>
      <c r="BX19">
        <v>6.7708000000000004E-2</v>
      </c>
      <c r="BY19">
        <v>6.25E-2</v>
      </c>
      <c r="BZ19">
        <v>6.25E-2</v>
      </c>
    </row>
    <row r="20" spans="3:78" x14ac:dyDescent="0.3">
      <c r="C20" s="15">
        <v>61.969000000000051</v>
      </c>
      <c r="D20" s="14">
        <v>2895</v>
      </c>
      <c r="E20" s="14">
        <v>2831</v>
      </c>
      <c r="F20" s="3">
        <v>2831</v>
      </c>
      <c r="G20" s="1">
        <f t="shared" si="0"/>
        <v>2.2606852702225361E-2</v>
      </c>
      <c r="H20" s="14">
        <f t="shared" si="1"/>
        <v>2.2606852702225361E-2</v>
      </c>
      <c r="I20" s="67">
        <v>61.969000000000051</v>
      </c>
      <c r="J20" s="34">
        <v>2895</v>
      </c>
      <c r="K20" s="34">
        <v>2831</v>
      </c>
      <c r="L20" s="35">
        <v>2831</v>
      </c>
      <c r="M20" s="34"/>
      <c r="N20" s="46">
        <v>2.2606852702225361E-2</v>
      </c>
      <c r="O20" s="34">
        <v>2.2606852702225361E-2</v>
      </c>
      <c r="AH20">
        <v>5.2430999999999998E-2</v>
      </c>
      <c r="AI20">
        <v>5.6107999999999998E-2</v>
      </c>
      <c r="AJ20">
        <v>4.8691999999999999E-2</v>
      </c>
      <c r="AK20">
        <v>5.6175999999999997E-2</v>
      </c>
      <c r="AL20">
        <v>5.7926999999999999E-2</v>
      </c>
      <c r="AM20">
        <v>5.9766E-2</v>
      </c>
      <c r="AN20">
        <v>5.6489999999999999E-2</v>
      </c>
      <c r="AO20">
        <v>6.1677999999999997E-2</v>
      </c>
      <c r="AP20">
        <v>4.6875E-2</v>
      </c>
      <c r="AQ20">
        <v>4.9479000000000002E-2</v>
      </c>
      <c r="AR20">
        <v>5.9374999999999997E-2</v>
      </c>
      <c r="AS20">
        <v>5.7445000000000003E-2</v>
      </c>
      <c r="AT20">
        <v>6.0132999999999999E-2</v>
      </c>
      <c r="AU20">
        <v>5.7617000000000002E-2</v>
      </c>
      <c r="AV20">
        <v>5.9979999999999999E-2</v>
      </c>
      <c r="AW20">
        <v>5.7292000000000003E-2</v>
      </c>
      <c r="AX20">
        <v>5.1185000000000001E-2</v>
      </c>
      <c r="AY20">
        <v>5.1339000000000003E-2</v>
      </c>
      <c r="AZ20">
        <v>4.6875E-2</v>
      </c>
      <c r="BA20">
        <v>5.7091000000000003E-2</v>
      </c>
      <c r="BB20">
        <v>0.05</v>
      </c>
      <c r="BC20">
        <v>5.5989999999999998E-2</v>
      </c>
      <c r="BD20">
        <v>5.3668E-2</v>
      </c>
      <c r="BE20">
        <v>5.5398000000000003E-2</v>
      </c>
      <c r="BF20">
        <v>6.0268000000000002E-2</v>
      </c>
      <c r="BG20">
        <v>5.5468999999999997E-2</v>
      </c>
      <c r="BH20">
        <v>4.5229999999999999E-2</v>
      </c>
      <c r="BI20">
        <v>6.0763999999999999E-2</v>
      </c>
      <c r="BJ20">
        <v>5.2389999999999999E-2</v>
      </c>
      <c r="BK20">
        <v>5.6640999999999997E-2</v>
      </c>
      <c r="BL20">
        <v>0.05</v>
      </c>
      <c r="BM20">
        <v>5.1339000000000003E-2</v>
      </c>
      <c r="BN20">
        <v>5.1683E-2</v>
      </c>
      <c r="BO20">
        <v>7.1614999999999998E-2</v>
      </c>
      <c r="BP20">
        <v>5.3976999999999997E-2</v>
      </c>
      <c r="BQ20">
        <v>5.3124999999999999E-2</v>
      </c>
      <c r="BR20">
        <v>6.7708000000000004E-2</v>
      </c>
      <c r="BS20">
        <v>5.0781E-2</v>
      </c>
      <c r="BT20">
        <v>5.3571000000000001E-2</v>
      </c>
      <c r="BU20">
        <v>7.5521000000000005E-2</v>
      </c>
      <c r="BV20">
        <v>6.8750000000000006E-2</v>
      </c>
      <c r="BW20">
        <v>7.8125E-2</v>
      </c>
      <c r="BX20">
        <v>6.25E-2</v>
      </c>
      <c r="BY20">
        <v>7.0311999999999999E-2</v>
      </c>
      <c r="BZ20">
        <v>6.25E-2</v>
      </c>
    </row>
    <row r="21" spans="3:78" x14ac:dyDescent="0.3">
      <c r="C21" s="15">
        <v>60.061999999999898</v>
      </c>
      <c r="D21" s="14">
        <v>2942</v>
      </c>
      <c r="E21" s="14">
        <v>2808</v>
      </c>
      <c r="F21" s="3">
        <v>2766</v>
      </c>
      <c r="G21" s="1">
        <f t="shared" si="0"/>
        <v>4.7720797720797722E-2</v>
      </c>
      <c r="H21" s="14">
        <f t="shared" si="1"/>
        <v>6.3629790310918297E-2</v>
      </c>
      <c r="I21" s="67">
        <v>60.061999999999898</v>
      </c>
      <c r="J21" s="34">
        <v>2942</v>
      </c>
      <c r="K21" s="34">
        <v>2808</v>
      </c>
      <c r="L21" s="35">
        <v>2766</v>
      </c>
      <c r="M21" s="34"/>
      <c r="N21" s="46">
        <v>4.7720797720797722E-2</v>
      </c>
      <c r="O21" s="34">
        <v>6.3629790310918297E-2</v>
      </c>
      <c r="AH21">
        <v>5.7986000000000003E-2</v>
      </c>
      <c r="AI21">
        <v>5.2557E-2</v>
      </c>
      <c r="AJ21">
        <v>5.1598999999999999E-2</v>
      </c>
      <c r="AK21">
        <v>5.8779999999999999E-2</v>
      </c>
      <c r="AL21">
        <v>5.4496999999999997E-2</v>
      </c>
      <c r="AM21">
        <v>5.5468999999999997E-2</v>
      </c>
      <c r="AN21">
        <v>5.4487000000000001E-2</v>
      </c>
      <c r="AO21">
        <v>6.0854999999999999E-2</v>
      </c>
      <c r="AP21">
        <v>5.1097999999999998E-2</v>
      </c>
      <c r="AQ21">
        <v>5.1649E-2</v>
      </c>
      <c r="AR21">
        <v>5.5357000000000003E-2</v>
      </c>
      <c r="AS21">
        <v>4.9173000000000001E-2</v>
      </c>
      <c r="AT21">
        <v>5.7292000000000003E-2</v>
      </c>
      <c r="AU21">
        <v>5.1757999999999998E-2</v>
      </c>
      <c r="AV21">
        <v>5.4940000000000003E-2</v>
      </c>
      <c r="AW21">
        <v>4.7917000000000001E-2</v>
      </c>
      <c r="AX21">
        <v>6.0345000000000003E-2</v>
      </c>
      <c r="AY21">
        <v>5.1339000000000003E-2</v>
      </c>
      <c r="AZ21">
        <v>6.0185000000000002E-2</v>
      </c>
      <c r="BA21">
        <v>5.6489999999999999E-2</v>
      </c>
      <c r="BB21">
        <v>0.06</v>
      </c>
      <c r="BC21">
        <v>5.0130000000000001E-2</v>
      </c>
      <c r="BD21">
        <v>5.9783000000000003E-2</v>
      </c>
      <c r="BE21">
        <v>5.8238999999999999E-2</v>
      </c>
      <c r="BF21">
        <v>5.2082999999999997E-2</v>
      </c>
      <c r="BG21">
        <v>4.6094000000000003E-2</v>
      </c>
      <c r="BH21">
        <v>6.0854999999999999E-2</v>
      </c>
      <c r="BI21">
        <v>5.9027999999999997E-2</v>
      </c>
      <c r="BJ21">
        <v>5.6065999999999998E-2</v>
      </c>
      <c r="BK21">
        <v>6.4452999999999996E-2</v>
      </c>
      <c r="BL21">
        <v>5.8333000000000003E-2</v>
      </c>
      <c r="BM21">
        <v>4.6875E-2</v>
      </c>
      <c r="BN21">
        <v>5.5287999999999997E-2</v>
      </c>
      <c r="BO21">
        <v>5.5989999999999998E-2</v>
      </c>
      <c r="BP21">
        <v>4.9716000000000003E-2</v>
      </c>
      <c r="BQ21">
        <v>6.5625000000000003E-2</v>
      </c>
      <c r="BR21">
        <v>5.3818999999999999E-2</v>
      </c>
      <c r="BS21">
        <v>5.0781E-2</v>
      </c>
      <c r="BT21">
        <v>6.25E-2</v>
      </c>
      <c r="BU21">
        <v>6.25E-2</v>
      </c>
      <c r="BV21">
        <v>7.1874999999999994E-2</v>
      </c>
      <c r="BW21">
        <v>5.8594E-2</v>
      </c>
      <c r="BX21">
        <v>6.25E-2</v>
      </c>
      <c r="BY21">
        <v>7.0311999999999999E-2</v>
      </c>
      <c r="BZ21">
        <v>3.125E-2</v>
      </c>
    </row>
    <row r="22" spans="3:78" x14ac:dyDescent="0.3">
      <c r="C22" s="15">
        <v>61.281000000000176</v>
      </c>
      <c r="D22" s="14">
        <v>2919</v>
      </c>
      <c r="E22" s="14">
        <v>2829</v>
      </c>
      <c r="F22" s="3">
        <v>2829</v>
      </c>
      <c r="G22" s="1">
        <f t="shared" si="0"/>
        <v>3.1813361611876985E-2</v>
      </c>
      <c r="H22" s="14">
        <f t="shared" si="1"/>
        <v>3.1813361611876985E-2</v>
      </c>
      <c r="I22" s="67">
        <v>61.281000000000176</v>
      </c>
      <c r="J22" s="34">
        <v>2919</v>
      </c>
      <c r="K22" s="34">
        <v>2829</v>
      </c>
      <c r="L22" s="35">
        <v>2829</v>
      </c>
      <c r="M22" s="34"/>
      <c r="N22" s="46">
        <v>3.1813361611876985E-2</v>
      </c>
      <c r="O22" s="34">
        <v>3.1813361611876985E-2</v>
      </c>
      <c r="AH22">
        <v>6.3542000000000001E-2</v>
      </c>
      <c r="AI22">
        <v>5.4688000000000001E-2</v>
      </c>
      <c r="AJ22">
        <v>4.9055000000000001E-2</v>
      </c>
      <c r="AK22">
        <v>5.8408000000000002E-2</v>
      </c>
      <c r="AL22">
        <v>5.9069999999999998E-2</v>
      </c>
      <c r="AM22">
        <v>5.9766E-2</v>
      </c>
      <c r="AN22">
        <v>5.8894000000000002E-2</v>
      </c>
      <c r="AO22">
        <v>6.1677999999999997E-2</v>
      </c>
      <c r="AP22">
        <v>5.7009999999999998E-2</v>
      </c>
      <c r="AQ22">
        <v>5.7292000000000003E-2</v>
      </c>
      <c r="AR22">
        <v>5.4911000000000001E-2</v>
      </c>
      <c r="AS22">
        <v>5.1929999999999997E-2</v>
      </c>
      <c r="AT22">
        <v>5.6344999999999999E-2</v>
      </c>
      <c r="AU22">
        <v>5.4198999999999997E-2</v>
      </c>
      <c r="AV22">
        <v>5.4434999999999997E-2</v>
      </c>
      <c r="AW22">
        <v>5.9895999999999998E-2</v>
      </c>
      <c r="AX22">
        <v>5.4418000000000001E-2</v>
      </c>
      <c r="AY22">
        <v>5.8594E-2</v>
      </c>
      <c r="AZ22">
        <v>5.9605999999999999E-2</v>
      </c>
      <c r="BA22">
        <v>5.5287999999999997E-2</v>
      </c>
      <c r="BB22">
        <v>6.3750000000000001E-2</v>
      </c>
      <c r="BC22">
        <v>5.8594E-2</v>
      </c>
      <c r="BD22">
        <v>5.7064999999999998E-2</v>
      </c>
      <c r="BE22">
        <v>5.9658999999999997E-2</v>
      </c>
      <c r="BF22">
        <v>6.25E-2</v>
      </c>
      <c r="BG22">
        <v>5.7030999999999998E-2</v>
      </c>
      <c r="BH22">
        <v>5.2631999999999998E-2</v>
      </c>
      <c r="BI22">
        <v>6.1631999999999999E-2</v>
      </c>
      <c r="BJ22">
        <v>5.6985000000000001E-2</v>
      </c>
      <c r="BK22">
        <v>6.4452999999999996E-2</v>
      </c>
      <c r="BL22">
        <v>5.2082999999999997E-2</v>
      </c>
      <c r="BM22">
        <v>5.9152000000000003E-2</v>
      </c>
      <c r="BN22">
        <v>6.3701999999999995E-2</v>
      </c>
      <c r="BO22">
        <v>6.1198000000000002E-2</v>
      </c>
      <c r="BP22">
        <v>5.3976999999999997E-2</v>
      </c>
      <c r="BQ22">
        <v>7.0311999999999999E-2</v>
      </c>
      <c r="BR22">
        <v>6.5972000000000003E-2</v>
      </c>
      <c r="BS22">
        <v>7.4218999999999993E-2</v>
      </c>
      <c r="BT22">
        <v>7.3661000000000004E-2</v>
      </c>
      <c r="BU22">
        <v>7.0311999999999999E-2</v>
      </c>
      <c r="BV22">
        <v>7.4999999999999997E-2</v>
      </c>
      <c r="BW22">
        <v>7.8125E-2</v>
      </c>
      <c r="BX22">
        <v>6.25E-2</v>
      </c>
      <c r="BY22">
        <v>7.8125E-2</v>
      </c>
      <c r="BZ22">
        <v>4.6875E-2</v>
      </c>
    </row>
    <row r="23" spans="3:78" x14ac:dyDescent="0.3">
      <c r="C23" s="41">
        <v>60.218999999999824</v>
      </c>
      <c r="D23" s="42">
        <v>2956</v>
      </c>
      <c r="E23" s="42">
        <v>2800</v>
      </c>
      <c r="F23" s="43">
        <v>2757</v>
      </c>
      <c r="G23" s="1">
        <f t="shared" si="0"/>
        <v>5.5714285714285716E-2</v>
      </c>
      <c r="H23" s="14">
        <f t="shared" si="1"/>
        <v>7.2179905694595578E-2</v>
      </c>
      <c r="I23" s="67">
        <v>60.218999999999824</v>
      </c>
      <c r="J23" s="34">
        <v>2956</v>
      </c>
      <c r="K23" s="34">
        <v>2800</v>
      </c>
      <c r="L23" s="35">
        <v>2757</v>
      </c>
      <c r="M23" s="34"/>
      <c r="N23" s="46">
        <v>5.5714285714285716E-2</v>
      </c>
      <c r="O23" s="34">
        <v>7.2179905694595578E-2</v>
      </c>
      <c r="AH23">
        <v>5.6944000000000002E-2</v>
      </c>
      <c r="AI23">
        <v>5.4688000000000001E-2</v>
      </c>
      <c r="AJ23">
        <v>4.5058000000000001E-2</v>
      </c>
      <c r="AK23">
        <v>5.6175999999999997E-2</v>
      </c>
      <c r="AL23">
        <v>5.9069999999999998E-2</v>
      </c>
      <c r="AM23">
        <v>6.2891000000000002E-2</v>
      </c>
      <c r="AN23">
        <v>5.5287999999999997E-2</v>
      </c>
      <c r="AO23">
        <v>6.3733999999999999E-2</v>
      </c>
      <c r="AP23">
        <v>5.1520000000000003E-2</v>
      </c>
      <c r="AQ23">
        <v>5.2082999999999997E-2</v>
      </c>
      <c r="AR23">
        <v>5.5357000000000003E-2</v>
      </c>
      <c r="AS23">
        <v>5.5606999999999997E-2</v>
      </c>
      <c r="AT23">
        <v>5.4924000000000001E-2</v>
      </c>
      <c r="AU23">
        <v>5.5176000000000003E-2</v>
      </c>
      <c r="AV23">
        <v>5.7459999999999997E-2</v>
      </c>
      <c r="AW23">
        <v>5.9374999999999997E-2</v>
      </c>
      <c r="AX23">
        <v>5.4418000000000001E-2</v>
      </c>
      <c r="AY23">
        <v>5.7478000000000001E-2</v>
      </c>
      <c r="AZ23">
        <v>5.9027999999999997E-2</v>
      </c>
      <c r="BA23">
        <v>5.9494999999999999E-2</v>
      </c>
      <c r="BB23">
        <v>5.1874999999999998E-2</v>
      </c>
      <c r="BC23">
        <v>5.3385000000000002E-2</v>
      </c>
      <c r="BD23">
        <v>6.25E-2</v>
      </c>
      <c r="BE23">
        <v>5.6818E-2</v>
      </c>
      <c r="BF23">
        <v>5.8779999999999999E-2</v>
      </c>
      <c r="BG23">
        <v>5.3124999999999999E-2</v>
      </c>
      <c r="BH23">
        <v>5.9211E-2</v>
      </c>
      <c r="BI23">
        <v>5.2950999999999998E-2</v>
      </c>
      <c r="BJ23">
        <v>6.1580999999999997E-2</v>
      </c>
      <c r="BK23">
        <v>7.3242000000000002E-2</v>
      </c>
      <c r="BL23">
        <v>5.9374999999999997E-2</v>
      </c>
      <c r="BM23">
        <v>5.8035999999999997E-2</v>
      </c>
      <c r="BN23">
        <v>6.6105999999999998E-2</v>
      </c>
      <c r="BO23">
        <v>6.9010000000000002E-2</v>
      </c>
      <c r="BP23">
        <v>6.5340999999999996E-2</v>
      </c>
      <c r="BQ23">
        <v>5.9374999999999997E-2</v>
      </c>
      <c r="BR23">
        <v>5.5556000000000001E-2</v>
      </c>
      <c r="BS23">
        <v>5.8594E-2</v>
      </c>
      <c r="BT23">
        <v>5.3571000000000001E-2</v>
      </c>
      <c r="BU23">
        <v>6.7708000000000004E-2</v>
      </c>
      <c r="BV23">
        <v>8.7499999999999994E-2</v>
      </c>
      <c r="BW23">
        <v>7.0311999999999999E-2</v>
      </c>
      <c r="BX23">
        <v>5.7292000000000003E-2</v>
      </c>
      <c r="BY23">
        <v>8.5938000000000001E-2</v>
      </c>
      <c r="BZ23">
        <v>4.6875E-2</v>
      </c>
    </row>
    <row r="24" spans="3:78" x14ac:dyDescent="0.3">
      <c r="C24" s="15">
        <v>61.75</v>
      </c>
      <c r="D24" s="14">
        <v>2865</v>
      </c>
      <c r="E24" s="14">
        <v>2787</v>
      </c>
      <c r="F24" s="3">
        <v>2751</v>
      </c>
      <c r="G24" s="1">
        <f t="shared" si="0"/>
        <v>2.7987082884822389E-2</v>
      </c>
      <c r="H24" s="14">
        <f t="shared" si="1"/>
        <v>4.1439476553980371E-2</v>
      </c>
      <c r="I24" s="67">
        <v>61.75</v>
      </c>
      <c r="J24" s="34">
        <v>2865</v>
      </c>
      <c r="K24" s="34">
        <v>2787</v>
      </c>
      <c r="L24" s="35">
        <v>2751</v>
      </c>
      <c r="M24" s="34"/>
      <c r="N24" s="46">
        <v>2.7987082884822389E-2</v>
      </c>
      <c r="O24" s="34">
        <v>4.1439476553980371E-2</v>
      </c>
      <c r="AH24">
        <v>6.0068999999999997E-2</v>
      </c>
      <c r="AI24">
        <v>5.9658999999999997E-2</v>
      </c>
      <c r="AJ24">
        <v>6.2863000000000002E-2</v>
      </c>
      <c r="AK24">
        <v>7.5521000000000005E-2</v>
      </c>
      <c r="AL24">
        <v>7.2409000000000001E-2</v>
      </c>
      <c r="AM24">
        <v>6.1719000000000003E-2</v>
      </c>
      <c r="AN24">
        <v>5.8092999999999999E-2</v>
      </c>
      <c r="AO24">
        <v>6.25E-2</v>
      </c>
      <c r="AP24">
        <v>6.4188999999999996E-2</v>
      </c>
      <c r="AQ24">
        <v>6.5103999999999995E-2</v>
      </c>
      <c r="AR24">
        <v>6.7857000000000001E-2</v>
      </c>
      <c r="AS24">
        <v>5.8824000000000001E-2</v>
      </c>
      <c r="AT24">
        <v>5.8238999999999999E-2</v>
      </c>
      <c r="AU24">
        <v>6.1034999999999999E-2</v>
      </c>
      <c r="AV24">
        <v>6.4516000000000004E-2</v>
      </c>
      <c r="AW24">
        <v>6.4583000000000002E-2</v>
      </c>
      <c r="AX24">
        <v>6.0884000000000001E-2</v>
      </c>
      <c r="AY24">
        <v>6.0268000000000002E-2</v>
      </c>
      <c r="AZ24">
        <v>6.0763999999999999E-2</v>
      </c>
      <c r="BA24">
        <v>5.9494999999999999E-2</v>
      </c>
      <c r="BB24">
        <v>6.1874999999999999E-2</v>
      </c>
      <c r="BC24">
        <v>6.7057000000000005E-2</v>
      </c>
      <c r="BD24">
        <v>5.9783000000000003E-2</v>
      </c>
      <c r="BE24">
        <v>5.7528000000000003E-2</v>
      </c>
      <c r="BF24">
        <v>5.6548000000000001E-2</v>
      </c>
      <c r="BG24">
        <v>7.0311999999999999E-2</v>
      </c>
      <c r="BH24">
        <v>7.2368000000000002E-2</v>
      </c>
      <c r="BI24">
        <v>6.4236000000000001E-2</v>
      </c>
      <c r="BJ24">
        <v>5.6985000000000001E-2</v>
      </c>
      <c r="BK24">
        <v>6.25E-2</v>
      </c>
      <c r="BL24">
        <v>6.4583000000000002E-2</v>
      </c>
      <c r="BM24">
        <v>6.1384000000000001E-2</v>
      </c>
      <c r="BN24">
        <v>6.0095999999999997E-2</v>
      </c>
      <c r="BO24">
        <v>6.25E-2</v>
      </c>
      <c r="BP24">
        <v>6.9601999999999997E-2</v>
      </c>
      <c r="BQ24">
        <v>6.0936999999999998E-2</v>
      </c>
      <c r="BR24">
        <v>7.6388999999999999E-2</v>
      </c>
      <c r="BS24">
        <v>9.375E-2</v>
      </c>
      <c r="BT24">
        <v>5.3571000000000001E-2</v>
      </c>
      <c r="BU24">
        <v>0.104167</v>
      </c>
      <c r="BV24">
        <v>6.5625000000000003E-2</v>
      </c>
      <c r="BW24">
        <v>7.4218999999999993E-2</v>
      </c>
      <c r="BX24">
        <v>4.6875E-2</v>
      </c>
      <c r="BY24">
        <v>5.4688000000000001E-2</v>
      </c>
      <c r="BZ24">
        <v>4.6875E-2</v>
      </c>
    </row>
    <row r="25" spans="3:78" x14ac:dyDescent="0.3">
      <c r="C25" s="15">
        <v>59.219000000000051</v>
      </c>
      <c r="D25" s="14">
        <v>2961</v>
      </c>
      <c r="E25" s="14">
        <v>2845</v>
      </c>
      <c r="F25" s="3">
        <v>2845</v>
      </c>
      <c r="G25" s="1">
        <f t="shared" si="0"/>
        <v>4.0773286467486819E-2</v>
      </c>
      <c r="H25" s="14">
        <f t="shared" si="1"/>
        <v>4.0773286467486819E-2</v>
      </c>
      <c r="I25" s="67">
        <v>59.219000000000051</v>
      </c>
      <c r="J25" s="34">
        <v>2961</v>
      </c>
      <c r="K25" s="34">
        <v>2845</v>
      </c>
      <c r="L25" s="35">
        <v>2845</v>
      </c>
      <c r="M25" s="34"/>
      <c r="N25" s="46">
        <v>4.0773286467486819E-2</v>
      </c>
      <c r="O25" s="34">
        <v>4.0773286467486819E-2</v>
      </c>
      <c r="AH25">
        <v>5.5903000000000001E-2</v>
      </c>
      <c r="AI25">
        <v>5.8238999999999999E-2</v>
      </c>
      <c r="AJ25">
        <v>5.6686E-2</v>
      </c>
      <c r="AK25">
        <v>5.5432000000000002E-2</v>
      </c>
      <c r="AL25">
        <v>5.3734999999999998E-2</v>
      </c>
      <c r="AM25">
        <v>4.8438000000000002E-2</v>
      </c>
      <c r="AN25">
        <v>5.1282000000000001E-2</v>
      </c>
      <c r="AO25">
        <v>5.7154999999999997E-2</v>
      </c>
      <c r="AP25">
        <v>5.0252999999999999E-2</v>
      </c>
      <c r="AQ25">
        <v>5.0781E-2</v>
      </c>
      <c r="AR25">
        <v>5.2232000000000001E-2</v>
      </c>
      <c r="AS25">
        <v>5.9742999999999997E-2</v>
      </c>
      <c r="AT25">
        <v>5.7764999999999997E-2</v>
      </c>
      <c r="AU25">
        <v>5.8594E-2</v>
      </c>
      <c r="AV25">
        <v>6.25E-2</v>
      </c>
      <c r="AW25">
        <v>6.5103999999999995E-2</v>
      </c>
      <c r="AX25">
        <v>6.25E-2</v>
      </c>
      <c r="AY25">
        <v>5.5246000000000003E-2</v>
      </c>
      <c r="AZ25">
        <v>5.8449000000000001E-2</v>
      </c>
      <c r="BA25">
        <v>5.7091000000000003E-2</v>
      </c>
      <c r="BB25">
        <v>6.4375000000000002E-2</v>
      </c>
      <c r="BC25">
        <v>5.2734000000000003E-2</v>
      </c>
      <c r="BD25">
        <v>5.6385999999999999E-2</v>
      </c>
      <c r="BE25">
        <v>5.2557E-2</v>
      </c>
      <c r="BF25">
        <v>5.5059999999999998E-2</v>
      </c>
      <c r="BG25">
        <v>6.3281000000000004E-2</v>
      </c>
      <c r="BH25">
        <v>6.8256999999999998E-2</v>
      </c>
      <c r="BI25">
        <v>5.7292000000000003E-2</v>
      </c>
      <c r="BJ25">
        <v>4.4117999999999997E-2</v>
      </c>
      <c r="BK25">
        <v>4.5898000000000001E-2</v>
      </c>
      <c r="BL25">
        <v>6.7708000000000004E-2</v>
      </c>
      <c r="BM25">
        <v>7.0311999999999999E-2</v>
      </c>
      <c r="BN25">
        <v>5.0480999999999998E-2</v>
      </c>
      <c r="BO25">
        <v>5.8594E-2</v>
      </c>
      <c r="BP25">
        <v>5.2557E-2</v>
      </c>
      <c r="BQ25">
        <v>5.1561999999999997E-2</v>
      </c>
      <c r="BR25">
        <v>6.4236000000000001E-2</v>
      </c>
      <c r="BS25">
        <v>5.2734000000000003E-2</v>
      </c>
      <c r="BT25">
        <v>6.25E-2</v>
      </c>
      <c r="BU25">
        <v>4.9479000000000002E-2</v>
      </c>
      <c r="BV25">
        <v>4.3749999999999997E-2</v>
      </c>
      <c r="BW25">
        <v>5.4688000000000001E-2</v>
      </c>
      <c r="BX25">
        <v>5.7292000000000003E-2</v>
      </c>
      <c r="BY25">
        <v>6.25E-2</v>
      </c>
      <c r="BZ25">
        <v>3.125E-2</v>
      </c>
    </row>
    <row r="26" spans="3:78" x14ac:dyDescent="0.3">
      <c r="C26" s="15">
        <v>60.312000000000126</v>
      </c>
      <c r="D26" s="14">
        <v>3182</v>
      </c>
      <c r="E26" s="14">
        <v>3049</v>
      </c>
      <c r="F26" s="3">
        <v>3049</v>
      </c>
      <c r="G26" s="1">
        <f t="shared" si="0"/>
        <v>4.3620859298130532E-2</v>
      </c>
      <c r="H26" s="14">
        <f t="shared" si="1"/>
        <v>4.3620859298130532E-2</v>
      </c>
      <c r="I26" s="67">
        <v>60.312000000000126</v>
      </c>
      <c r="J26" s="34">
        <v>3182</v>
      </c>
      <c r="K26" s="34">
        <v>3049</v>
      </c>
      <c r="L26" s="35">
        <v>3049</v>
      </c>
      <c r="M26" s="34"/>
      <c r="N26" s="46">
        <v>4.3620859298130532E-2</v>
      </c>
      <c r="O26" s="34">
        <v>4.3620859298130532E-2</v>
      </c>
      <c r="AH26">
        <v>6.2153E-2</v>
      </c>
      <c r="AI26">
        <v>5.8594E-2</v>
      </c>
      <c r="AJ26">
        <v>5.5232999999999997E-2</v>
      </c>
      <c r="AK26">
        <v>5.5803999999999999E-2</v>
      </c>
      <c r="AL26">
        <v>5.8307999999999999E-2</v>
      </c>
      <c r="AM26">
        <v>5.3516000000000001E-2</v>
      </c>
      <c r="AN26">
        <v>5.7692E-2</v>
      </c>
      <c r="AO26">
        <v>6.1266000000000001E-2</v>
      </c>
      <c r="AP26">
        <v>5.8699000000000001E-2</v>
      </c>
      <c r="AQ26">
        <v>6.1631999999999999E-2</v>
      </c>
      <c r="AR26">
        <v>5.4017999999999997E-2</v>
      </c>
      <c r="AS26">
        <v>6.1580999999999997E-2</v>
      </c>
      <c r="AT26">
        <v>6.0606E-2</v>
      </c>
      <c r="AU26">
        <v>6.0546999999999997E-2</v>
      </c>
      <c r="AV26">
        <v>6.4516000000000004E-2</v>
      </c>
      <c r="AW26">
        <v>6.1457999999999999E-2</v>
      </c>
      <c r="AX26">
        <v>4.8490999999999999E-2</v>
      </c>
      <c r="AY26">
        <v>5.5803999999999999E-2</v>
      </c>
      <c r="AZ26">
        <v>4.8611000000000001E-2</v>
      </c>
      <c r="BA26">
        <v>5.6489999999999999E-2</v>
      </c>
      <c r="BB26">
        <v>5.8125000000000003E-2</v>
      </c>
      <c r="BC26">
        <v>6.5754999999999994E-2</v>
      </c>
      <c r="BD26">
        <v>5.4348E-2</v>
      </c>
      <c r="BE26">
        <v>5.3267000000000002E-2</v>
      </c>
      <c r="BF26">
        <v>5.4315000000000002E-2</v>
      </c>
      <c r="BG26">
        <v>6.7186999999999997E-2</v>
      </c>
      <c r="BH26">
        <v>5.9211E-2</v>
      </c>
      <c r="BI26">
        <v>5.8160000000000003E-2</v>
      </c>
      <c r="BJ26">
        <v>5.9742999999999997E-2</v>
      </c>
      <c r="BK26">
        <v>5.1757999999999998E-2</v>
      </c>
      <c r="BL26">
        <v>6.3542000000000001E-2</v>
      </c>
      <c r="BM26">
        <v>6.3616000000000006E-2</v>
      </c>
      <c r="BN26">
        <v>4.8077000000000002E-2</v>
      </c>
      <c r="BO26">
        <v>5.2082999999999997E-2</v>
      </c>
      <c r="BP26">
        <v>5.3976999999999997E-2</v>
      </c>
      <c r="BQ26">
        <v>5.6250000000000001E-2</v>
      </c>
      <c r="BR26">
        <v>5.3818999999999999E-2</v>
      </c>
      <c r="BS26">
        <v>5.0781E-2</v>
      </c>
      <c r="BT26">
        <v>5.3571000000000001E-2</v>
      </c>
      <c r="BU26">
        <v>5.2082999999999997E-2</v>
      </c>
      <c r="BV26">
        <v>0.05</v>
      </c>
      <c r="BW26">
        <v>6.25E-2</v>
      </c>
      <c r="BX26">
        <v>4.1667000000000003E-2</v>
      </c>
      <c r="BY26">
        <v>5.4688000000000001E-2</v>
      </c>
      <c r="BZ26">
        <v>3.125E-2</v>
      </c>
    </row>
    <row r="27" spans="3:78" x14ac:dyDescent="0.3">
      <c r="C27" s="15">
        <v>59.5</v>
      </c>
      <c r="D27" s="14">
        <v>2836</v>
      </c>
      <c r="E27" s="14">
        <v>2813</v>
      </c>
      <c r="F27" s="3">
        <v>2813</v>
      </c>
      <c r="G27" s="1">
        <f t="shared" si="0"/>
        <v>8.1763242090295059E-3</v>
      </c>
      <c r="H27" s="14">
        <f t="shared" si="1"/>
        <v>8.1763242090295059E-3</v>
      </c>
      <c r="I27" s="67">
        <v>59.5</v>
      </c>
      <c r="J27" s="34">
        <v>2836</v>
      </c>
      <c r="K27" s="34">
        <v>2813</v>
      </c>
      <c r="L27" s="35">
        <v>2813</v>
      </c>
      <c r="M27" s="34"/>
      <c r="N27" s="46">
        <v>8.1763242090295059E-3</v>
      </c>
      <c r="O27" s="34">
        <v>8.1763242090295059E-3</v>
      </c>
      <c r="AH27">
        <v>5.4514E-2</v>
      </c>
      <c r="AI27">
        <v>5.5398000000000003E-2</v>
      </c>
      <c r="AJ27">
        <v>6.1409999999999999E-2</v>
      </c>
      <c r="AK27">
        <v>5.9895999999999998E-2</v>
      </c>
      <c r="AL27">
        <v>5.7546E-2</v>
      </c>
      <c r="AM27">
        <v>6.0156000000000001E-2</v>
      </c>
      <c r="AN27">
        <v>6.7708000000000004E-2</v>
      </c>
      <c r="AO27">
        <v>6.6200999999999996E-2</v>
      </c>
      <c r="AP27">
        <v>5.8277000000000002E-2</v>
      </c>
      <c r="AQ27">
        <v>6.5972000000000003E-2</v>
      </c>
      <c r="AR27">
        <v>6.1161E-2</v>
      </c>
      <c r="AS27">
        <v>5.8363999999999999E-2</v>
      </c>
      <c r="AT27">
        <v>6.1080000000000002E-2</v>
      </c>
      <c r="AU27">
        <v>6.2011999999999998E-2</v>
      </c>
      <c r="AV27">
        <v>5.8467999999999999E-2</v>
      </c>
      <c r="AW27">
        <v>5.3645999999999999E-2</v>
      </c>
      <c r="AX27">
        <v>5.6572999999999998E-2</v>
      </c>
      <c r="AY27">
        <v>4.5200999999999998E-2</v>
      </c>
      <c r="AZ27">
        <v>5.1505000000000002E-2</v>
      </c>
      <c r="BA27">
        <v>5.0480999999999998E-2</v>
      </c>
      <c r="BB27">
        <v>4.7500000000000001E-2</v>
      </c>
      <c r="BC27">
        <v>5.5338999999999999E-2</v>
      </c>
      <c r="BD27">
        <v>5.3668E-2</v>
      </c>
      <c r="BE27">
        <v>4.1903000000000003E-2</v>
      </c>
      <c r="BF27">
        <v>4.9850999999999999E-2</v>
      </c>
      <c r="BG27">
        <v>4.8438000000000002E-2</v>
      </c>
      <c r="BH27">
        <v>5.5099000000000002E-2</v>
      </c>
      <c r="BI27">
        <v>4.6006999999999999E-2</v>
      </c>
      <c r="BJ27">
        <v>6.1580999999999997E-2</v>
      </c>
      <c r="BK27">
        <v>5.1757999999999998E-2</v>
      </c>
      <c r="BL27">
        <v>5.4167E-2</v>
      </c>
      <c r="BM27">
        <v>4.9106999999999998E-2</v>
      </c>
      <c r="BN27">
        <v>5.6489999999999999E-2</v>
      </c>
      <c r="BO27">
        <v>5.5989999999999998E-2</v>
      </c>
      <c r="BP27">
        <v>6.25E-2</v>
      </c>
      <c r="BQ27">
        <v>5.1561999999999997E-2</v>
      </c>
      <c r="BR27">
        <v>5.3818999999999999E-2</v>
      </c>
      <c r="BS27">
        <v>5.8594E-2</v>
      </c>
      <c r="BT27">
        <v>5.3571000000000001E-2</v>
      </c>
      <c r="BU27">
        <v>4.9479000000000002E-2</v>
      </c>
      <c r="BV27">
        <v>5.6250000000000001E-2</v>
      </c>
      <c r="BW27">
        <v>6.25E-2</v>
      </c>
      <c r="BX27">
        <v>6.25E-2</v>
      </c>
      <c r="BY27">
        <v>3.125E-2</v>
      </c>
      <c r="BZ27">
        <v>4.6875E-2</v>
      </c>
    </row>
    <row r="28" spans="3:78" x14ac:dyDescent="0.3">
      <c r="C28" s="15">
        <v>62.125</v>
      </c>
      <c r="D28" s="14">
        <v>2877</v>
      </c>
      <c r="E28" s="14">
        <v>2821</v>
      </c>
      <c r="F28" s="3">
        <v>2781</v>
      </c>
      <c r="G28" s="1">
        <f t="shared" si="0"/>
        <v>1.9851116625310174E-2</v>
      </c>
      <c r="H28" s="14">
        <f t="shared" si="1"/>
        <v>3.4519956850053934E-2</v>
      </c>
      <c r="I28" s="67">
        <v>62.125</v>
      </c>
      <c r="J28" s="34">
        <v>2877</v>
      </c>
      <c r="K28" s="34">
        <v>2821</v>
      </c>
      <c r="L28" s="35">
        <v>2781</v>
      </c>
      <c r="M28" s="34"/>
      <c r="N28" s="46">
        <v>1.9851116625310174E-2</v>
      </c>
      <c r="O28" s="34">
        <v>3.4519956850053934E-2</v>
      </c>
      <c r="AH28">
        <v>5.3124999999999999E-2</v>
      </c>
      <c r="AI28">
        <v>5.1491000000000002E-2</v>
      </c>
      <c r="AJ28">
        <v>4.8328000000000003E-2</v>
      </c>
      <c r="AK28">
        <v>4.6130999999999998E-2</v>
      </c>
      <c r="AL28">
        <v>5.7165000000000001E-2</v>
      </c>
      <c r="AM28">
        <v>4.6094000000000003E-2</v>
      </c>
      <c r="AN28">
        <v>5.7292000000000003E-2</v>
      </c>
      <c r="AO28">
        <v>7.8125E-2</v>
      </c>
      <c r="AP28">
        <v>5.9965999999999998E-2</v>
      </c>
      <c r="AQ28">
        <v>4.7308999999999997E-2</v>
      </c>
      <c r="AR28">
        <v>4.5982000000000002E-2</v>
      </c>
      <c r="AS28">
        <v>6.9392999999999996E-2</v>
      </c>
      <c r="AT28">
        <v>6.0132999999999999E-2</v>
      </c>
      <c r="AU28">
        <v>5.9082000000000003E-2</v>
      </c>
      <c r="AV28">
        <v>5.5444E-2</v>
      </c>
      <c r="AW28">
        <v>5.2082999999999997E-2</v>
      </c>
      <c r="AX28">
        <v>5.9267E-2</v>
      </c>
      <c r="AY28">
        <v>5.4688000000000001E-2</v>
      </c>
      <c r="AZ28">
        <v>5.7869999999999998E-2</v>
      </c>
      <c r="BA28">
        <v>5.1082000000000002E-2</v>
      </c>
      <c r="BB28">
        <v>4.6249999999999999E-2</v>
      </c>
      <c r="BC28">
        <v>5.2082999999999997E-2</v>
      </c>
      <c r="BD28">
        <v>5.7744999999999998E-2</v>
      </c>
      <c r="BE28">
        <v>5.2557E-2</v>
      </c>
      <c r="BF28">
        <v>5.9524000000000001E-2</v>
      </c>
      <c r="BG28">
        <v>5.8594E-2</v>
      </c>
      <c r="BH28">
        <v>5.0164E-2</v>
      </c>
      <c r="BI28">
        <v>5.2082999999999997E-2</v>
      </c>
      <c r="BJ28">
        <v>4.8712999999999999E-2</v>
      </c>
      <c r="BK28">
        <v>5.4688000000000001E-2</v>
      </c>
      <c r="BL28">
        <v>4.1667000000000003E-2</v>
      </c>
      <c r="BM28">
        <v>7.0311999999999999E-2</v>
      </c>
      <c r="BN28">
        <v>6.8510000000000001E-2</v>
      </c>
      <c r="BO28">
        <v>7.5521000000000005E-2</v>
      </c>
      <c r="BP28">
        <v>6.1080000000000002E-2</v>
      </c>
      <c r="BQ28">
        <v>5.4688000000000001E-2</v>
      </c>
      <c r="BR28">
        <v>5.3818999999999999E-2</v>
      </c>
      <c r="BS28">
        <v>4.8828000000000003E-2</v>
      </c>
      <c r="BT28">
        <v>6.0268000000000002E-2</v>
      </c>
      <c r="BU28">
        <v>5.4688000000000001E-2</v>
      </c>
      <c r="BV28">
        <v>4.6875E-2</v>
      </c>
      <c r="BW28">
        <v>5.8594E-2</v>
      </c>
      <c r="BX28">
        <v>5.2082999999999997E-2</v>
      </c>
      <c r="BY28">
        <v>4.6875E-2</v>
      </c>
      <c r="BZ28">
        <v>7.8125E-2</v>
      </c>
    </row>
    <row r="29" spans="3:78" x14ac:dyDescent="0.3">
      <c r="C29" s="15">
        <v>65.75</v>
      </c>
      <c r="D29" s="14">
        <v>2935</v>
      </c>
      <c r="E29" s="14">
        <v>2853</v>
      </c>
      <c r="F29" s="3">
        <v>2810</v>
      </c>
      <c r="G29" s="1">
        <f t="shared" si="0"/>
        <v>2.8741675429372591E-2</v>
      </c>
      <c r="H29" s="14">
        <f t="shared" si="1"/>
        <v>4.4483985765124558E-2</v>
      </c>
      <c r="I29" s="67">
        <v>65.75</v>
      </c>
      <c r="J29" s="34">
        <v>2935</v>
      </c>
      <c r="K29" s="34">
        <v>2853</v>
      </c>
      <c r="L29" s="35">
        <v>2810</v>
      </c>
      <c r="M29" s="34"/>
      <c r="N29" s="46">
        <v>2.8741675429372591E-2</v>
      </c>
      <c r="O29" s="34">
        <v>4.4483985765124558E-2</v>
      </c>
      <c r="AH29">
        <v>5.2777999999999999E-2</v>
      </c>
      <c r="AI29">
        <v>4.8651E-2</v>
      </c>
      <c r="AJ29">
        <v>5.3779E-2</v>
      </c>
      <c r="AK29">
        <v>5.8035999999999997E-2</v>
      </c>
      <c r="AL29">
        <v>6.4023999999999998E-2</v>
      </c>
      <c r="AM29">
        <v>6.6016000000000005E-2</v>
      </c>
      <c r="AN29">
        <v>6.1297999999999998E-2</v>
      </c>
      <c r="AO29">
        <v>6.7022999999999999E-2</v>
      </c>
      <c r="AP29">
        <v>7.2635000000000005E-2</v>
      </c>
      <c r="AQ29">
        <v>7.0311999999999999E-2</v>
      </c>
      <c r="AR29">
        <v>7.4553999999999995E-2</v>
      </c>
      <c r="AS29">
        <v>6.8473999999999993E-2</v>
      </c>
      <c r="AT29">
        <v>6.9128999999999996E-2</v>
      </c>
      <c r="AU29">
        <v>7.2265999999999997E-2</v>
      </c>
      <c r="AV29">
        <v>7.5101000000000001E-2</v>
      </c>
      <c r="AW29">
        <v>7.3957999999999996E-2</v>
      </c>
      <c r="AX29">
        <v>7.5969999999999996E-2</v>
      </c>
      <c r="AY29">
        <v>5.6362000000000002E-2</v>
      </c>
      <c r="AZ29">
        <v>6.4814999999999998E-2</v>
      </c>
      <c r="BA29">
        <v>6.3101000000000004E-2</v>
      </c>
      <c r="BB29">
        <v>6.9375000000000006E-2</v>
      </c>
      <c r="BC29">
        <v>6.5103999999999995E-2</v>
      </c>
      <c r="BD29">
        <v>6.5216999999999997E-2</v>
      </c>
      <c r="BE29">
        <v>5.8238999999999999E-2</v>
      </c>
      <c r="BF29">
        <v>4.9106999999999998E-2</v>
      </c>
      <c r="BG29">
        <v>5.0781E-2</v>
      </c>
      <c r="BH29">
        <v>6.0033000000000003E-2</v>
      </c>
      <c r="BI29">
        <v>5.4688000000000001E-2</v>
      </c>
      <c r="BJ29">
        <v>6.5256999999999996E-2</v>
      </c>
      <c r="BK29">
        <v>4.9805000000000002E-2</v>
      </c>
      <c r="BL29">
        <v>5.6250000000000001E-2</v>
      </c>
      <c r="BM29">
        <v>6.25E-2</v>
      </c>
      <c r="BN29">
        <v>5.5287999999999997E-2</v>
      </c>
      <c r="BO29">
        <v>5.0781E-2</v>
      </c>
      <c r="BP29">
        <v>6.25E-2</v>
      </c>
      <c r="BQ29">
        <v>5.7813000000000003E-2</v>
      </c>
      <c r="BR29">
        <v>6.4236000000000001E-2</v>
      </c>
      <c r="BS29">
        <v>7.0311999999999999E-2</v>
      </c>
      <c r="BT29">
        <v>6.0268000000000002E-2</v>
      </c>
      <c r="BU29">
        <v>5.9895999999999998E-2</v>
      </c>
      <c r="BV29">
        <v>6.25E-2</v>
      </c>
      <c r="BW29">
        <v>5.0781E-2</v>
      </c>
      <c r="BX29">
        <v>5.7292000000000003E-2</v>
      </c>
      <c r="BY29">
        <v>5.4688000000000001E-2</v>
      </c>
      <c r="BZ29">
        <v>6.25E-2</v>
      </c>
    </row>
    <row r="30" spans="3:78" x14ac:dyDescent="0.3">
      <c r="C30" s="15">
        <v>64.593999999999824</v>
      </c>
      <c r="D30" s="14">
        <v>2990</v>
      </c>
      <c r="E30" s="14">
        <v>2861</v>
      </c>
      <c r="F30" s="3">
        <v>2861</v>
      </c>
      <c r="G30" s="1">
        <f t="shared" si="0"/>
        <v>4.5089129674938833E-2</v>
      </c>
      <c r="H30" s="14">
        <f t="shared" si="1"/>
        <v>4.5089129674938833E-2</v>
      </c>
      <c r="I30" s="67">
        <v>64.593999999999824</v>
      </c>
      <c r="J30" s="34">
        <v>2990</v>
      </c>
      <c r="K30" s="34">
        <v>2861</v>
      </c>
      <c r="L30" s="35">
        <v>2861</v>
      </c>
      <c r="M30" s="34"/>
      <c r="N30" s="46">
        <v>4.5089129674938833E-2</v>
      </c>
      <c r="O30" s="34">
        <v>4.5089129674938833E-2</v>
      </c>
      <c r="AH30">
        <v>5.8680999999999997E-2</v>
      </c>
      <c r="AI30">
        <v>4.6875E-2</v>
      </c>
      <c r="AJ30">
        <v>4.6511999999999998E-2</v>
      </c>
      <c r="AK30">
        <v>5.2082999999999997E-2</v>
      </c>
      <c r="AL30">
        <v>5.9069999999999998E-2</v>
      </c>
      <c r="AM30">
        <v>5.5078000000000002E-2</v>
      </c>
      <c r="AN30">
        <v>5.4887999999999999E-2</v>
      </c>
      <c r="AO30">
        <v>4.6463999999999998E-2</v>
      </c>
      <c r="AP30">
        <v>4.9409000000000002E-2</v>
      </c>
      <c r="AQ30">
        <v>5.2950999999999998E-2</v>
      </c>
      <c r="AR30">
        <v>5.1339000000000003E-2</v>
      </c>
      <c r="AS30">
        <v>4.5496000000000002E-2</v>
      </c>
      <c r="AT30">
        <v>5.3030000000000001E-2</v>
      </c>
      <c r="AU30">
        <v>5.5176000000000003E-2</v>
      </c>
      <c r="AV30">
        <v>4.9898999999999999E-2</v>
      </c>
      <c r="AW30">
        <v>4.8958000000000002E-2</v>
      </c>
      <c r="AX30">
        <v>5.1185000000000001E-2</v>
      </c>
      <c r="AY30">
        <v>5.1896999999999999E-2</v>
      </c>
      <c r="AZ30">
        <v>5.3818999999999999E-2</v>
      </c>
      <c r="BA30">
        <v>4.6274000000000003E-2</v>
      </c>
      <c r="BB30">
        <v>5.0625000000000003E-2</v>
      </c>
      <c r="BC30">
        <v>5.3385000000000002E-2</v>
      </c>
      <c r="BD30">
        <v>5.5707E-2</v>
      </c>
      <c r="BE30">
        <v>5.3976999999999997E-2</v>
      </c>
      <c r="BF30">
        <v>5.5059999999999998E-2</v>
      </c>
      <c r="BG30">
        <v>5.7813000000000003E-2</v>
      </c>
      <c r="BH30">
        <v>4.8520000000000001E-2</v>
      </c>
      <c r="BI30">
        <v>5.1214999999999997E-2</v>
      </c>
      <c r="BJ30">
        <v>5.3309000000000002E-2</v>
      </c>
      <c r="BK30">
        <v>4.6875E-2</v>
      </c>
      <c r="BL30">
        <v>4.8958000000000002E-2</v>
      </c>
      <c r="BM30">
        <v>6.1384000000000001E-2</v>
      </c>
      <c r="BN30">
        <v>6.1297999999999998E-2</v>
      </c>
      <c r="BO30">
        <v>5.7292000000000003E-2</v>
      </c>
      <c r="BP30">
        <v>5.1136000000000001E-2</v>
      </c>
      <c r="BQ30">
        <v>0.05</v>
      </c>
      <c r="BR30">
        <v>4.6875E-2</v>
      </c>
      <c r="BS30">
        <v>6.0546999999999997E-2</v>
      </c>
      <c r="BT30">
        <v>4.9106999999999998E-2</v>
      </c>
      <c r="BU30">
        <v>7.2916999999999996E-2</v>
      </c>
      <c r="BV30">
        <v>5.9374999999999997E-2</v>
      </c>
      <c r="BW30">
        <v>6.25E-2</v>
      </c>
      <c r="BX30">
        <v>3.6457999999999997E-2</v>
      </c>
      <c r="BY30">
        <v>7.0311999999999999E-2</v>
      </c>
      <c r="BZ30">
        <v>3.125E-2</v>
      </c>
    </row>
    <row r="31" spans="3:78" x14ac:dyDescent="0.3">
      <c r="C31" s="15">
        <v>62.375</v>
      </c>
      <c r="D31" s="14">
        <v>2889</v>
      </c>
      <c r="E31" s="14">
        <v>2800</v>
      </c>
      <c r="F31" s="3">
        <v>2780</v>
      </c>
      <c r="G31" s="1">
        <f t="shared" si="0"/>
        <v>3.1785714285714285E-2</v>
      </c>
      <c r="H31" s="14">
        <f t="shared" si="1"/>
        <v>3.920863309352518E-2</v>
      </c>
      <c r="I31" s="67">
        <v>62.375</v>
      </c>
      <c r="J31" s="34">
        <v>2889</v>
      </c>
      <c r="K31" s="34">
        <v>2800</v>
      </c>
      <c r="L31" s="35">
        <v>2780</v>
      </c>
      <c r="M31" s="34"/>
      <c r="N31" s="46">
        <v>3.1785714285714285E-2</v>
      </c>
      <c r="O31" s="34">
        <v>3.920863309352518E-2</v>
      </c>
      <c r="AH31">
        <v>4.6181E-2</v>
      </c>
      <c r="AI31">
        <v>5.3622000000000003E-2</v>
      </c>
      <c r="AJ31">
        <v>5.2689E-2</v>
      </c>
      <c r="AK31">
        <v>5.4315000000000002E-2</v>
      </c>
      <c r="AL31">
        <v>5.4878000000000003E-2</v>
      </c>
      <c r="AM31">
        <v>5.1561999999999997E-2</v>
      </c>
      <c r="AN31">
        <v>5.1282000000000001E-2</v>
      </c>
      <c r="AO31">
        <v>4.9341999999999997E-2</v>
      </c>
      <c r="AP31">
        <v>4.2652000000000002E-2</v>
      </c>
      <c r="AQ31">
        <v>5.2950999999999998E-2</v>
      </c>
      <c r="AR31">
        <v>5.4017999999999997E-2</v>
      </c>
      <c r="AS31">
        <v>5.7903999999999997E-2</v>
      </c>
      <c r="AT31">
        <v>4.8294999999999998E-2</v>
      </c>
      <c r="AU31">
        <v>5.3222999999999999E-2</v>
      </c>
      <c r="AV31">
        <v>5.8971999999999997E-2</v>
      </c>
      <c r="AW31">
        <v>5.4688000000000001E-2</v>
      </c>
      <c r="AX31">
        <v>4.9029999999999997E-2</v>
      </c>
      <c r="AY31">
        <v>4.2969E-2</v>
      </c>
      <c r="AZ31">
        <v>5.0925999999999999E-2</v>
      </c>
      <c r="BA31">
        <v>4.5672999999999998E-2</v>
      </c>
      <c r="BB31">
        <v>4.9375000000000002E-2</v>
      </c>
      <c r="BC31">
        <v>4.8828000000000003E-2</v>
      </c>
      <c r="BD31">
        <v>5.5707E-2</v>
      </c>
      <c r="BE31">
        <v>5.7528000000000003E-2</v>
      </c>
      <c r="BF31">
        <v>4.6130999999999998E-2</v>
      </c>
      <c r="BG31">
        <v>5.4688000000000001E-2</v>
      </c>
      <c r="BH31">
        <v>5.5920999999999998E-2</v>
      </c>
      <c r="BI31">
        <v>4.4270999999999998E-2</v>
      </c>
      <c r="BJ31">
        <v>4.5955999999999997E-2</v>
      </c>
      <c r="BK31">
        <v>5.7617000000000002E-2</v>
      </c>
      <c r="BL31">
        <v>4.5832999999999999E-2</v>
      </c>
      <c r="BM31">
        <v>5.8035999999999997E-2</v>
      </c>
      <c r="BN31">
        <v>5.8894000000000002E-2</v>
      </c>
      <c r="BO31">
        <v>6.25E-2</v>
      </c>
      <c r="BP31">
        <v>6.1080000000000002E-2</v>
      </c>
      <c r="BQ31">
        <v>5.4688000000000001E-2</v>
      </c>
      <c r="BR31">
        <v>5.0347000000000003E-2</v>
      </c>
      <c r="BS31">
        <v>4.6875E-2</v>
      </c>
      <c r="BT31">
        <v>5.3571000000000001E-2</v>
      </c>
      <c r="BU31">
        <v>6.25E-2</v>
      </c>
      <c r="BV31">
        <v>6.25E-2</v>
      </c>
      <c r="BW31">
        <v>5.8594E-2</v>
      </c>
      <c r="BX31">
        <v>6.25E-2</v>
      </c>
      <c r="BY31">
        <v>3.125E-2</v>
      </c>
      <c r="BZ31">
        <v>3.125E-2</v>
      </c>
    </row>
    <row r="32" spans="3:78" x14ac:dyDescent="0.3">
      <c r="C32" s="15">
        <v>62.844000000000051</v>
      </c>
      <c r="D32" s="14">
        <v>3032</v>
      </c>
      <c r="E32" s="14">
        <v>2851</v>
      </c>
      <c r="F32" s="3">
        <v>2851</v>
      </c>
      <c r="G32" s="1">
        <f t="shared" si="0"/>
        <v>6.3486495966327605E-2</v>
      </c>
      <c r="H32" s="14">
        <f t="shared" si="1"/>
        <v>6.3486495966327605E-2</v>
      </c>
      <c r="I32" s="67">
        <v>62.844000000000051</v>
      </c>
      <c r="J32" s="34">
        <v>3032</v>
      </c>
      <c r="K32" s="34">
        <v>2851</v>
      </c>
      <c r="L32" s="35">
        <v>2851</v>
      </c>
      <c r="M32" s="34"/>
      <c r="N32" s="46">
        <v>6.3486495966327605E-2</v>
      </c>
      <c r="O32" s="34">
        <v>6.3486495966327605E-2</v>
      </c>
      <c r="AH32">
        <v>5.3124999999999999E-2</v>
      </c>
      <c r="AI32">
        <v>5.0070999999999997E-2</v>
      </c>
      <c r="AJ32">
        <v>5.8866000000000002E-2</v>
      </c>
      <c r="AK32">
        <v>5.9524000000000001E-2</v>
      </c>
      <c r="AL32">
        <v>4.6113000000000001E-2</v>
      </c>
      <c r="AM32">
        <v>4.6483999999999998E-2</v>
      </c>
      <c r="AN32">
        <v>5.1683E-2</v>
      </c>
      <c r="AO32">
        <v>4.4818999999999998E-2</v>
      </c>
      <c r="AP32">
        <v>4.4763999999999998E-2</v>
      </c>
      <c r="AQ32">
        <v>5.4688000000000001E-2</v>
      </c>
      <c r="AR32">
        <v>5.6250000000000001E-2</v>
      </c>
      <c r="AS32">
        <v>5.0550999999999999E-2</v>
      </c>
      <c r="AT32">
        <v>5.2082999999999997E-2</v>
      </c>
      <c r="AU32">
        <v>5.2734000000000003E-2</v>
      </c>
      <c r="AV32">
        <v>5.1915000000000003E-2</v>
      </c>
      <c r="AW32">
        <v>4.7917000000000001E-2</v>
      </c>
      <c r="AX32">
        <v>5.4418000000000001E-2</v>
      </c>
      <c r="AY32">
        <v>5.0222999999999997E-2</v>
      </c>
      <c r="AZ32">
        <v>5.3240999999999997E-2</v>
      </c>
      <c r="BA32">
        <v>5.6489999999999999E-2</v>
      </c>
      <c r="BB32">
        <v>5.8749999999999997E-2</v>
      </c>
      <c r="BC32">
        <v>5.5338999999999999E-2</v>
      </c>
      <c r="BD32">
        <v>4.4837000000000002E-2</v>
      </c>
      <c r="BE32">
        <v>5.3267000000000002E-2</v>
      </c>
      <c r="BF32">
        <v>5.5803999999999999E-2</v>
      </c>
      <c r="BG32">
        <v>4.2969E-2</v>
      </c>
      <c r="BH32">
        <v>6.4144999999999994E-2</v>
      </c>
      <c r="BI32">
        <v>5.0347000000000003E-2</v>
      </c>
      <c r="BJ32">
        <v>4.4117999999999997E-2</v>
      </c>
      <c r="BK32">
        <v>5.4688000000000001E-2</v>
      </c>
      <c r="BL32">
        <v>4.4791999999999998E-2</v>
      </c>
      <c r="BM32">
        <v>6.4731999999999998E-2</v>
      </c>
      <c r="BN32">
        <v>6.1297999999999998E-2</v>
      </c>
      <c r="BO32">
        <v>4.9479000000000002E-2</v>
      </c>
      <c r="BP32">
        <v>5.6818E-2</v>
      </c>
      <c r="BQ32">
        <v>4.8438000000000002E-2</v>
      </c>
      <c r="BR32">
        <v>5.3818999999999999E-2</v>
      </c>
      <c r="BS32">
        <v>4.4921999999999997E-2</v>
      </c>
      <c r="BT32">
        <v>6.4731999999999998E-2</v>
      </c>
      <c r="BU32">
        <v>4.9479000000000002E-2</v>
      </c>
      <c r="BV32">
        <v>3.4375000000000003E-2</v>
      </c>
      <c r="BW32">
        <v>5.0781E-2</v>
      </c>
      <c r="BX32">
        <v>2.6041999999999999E-2</v>
      </c>
      <c r="BY32">
        <v>5.4688000000000001E-2</v>
      </c>
      <c r="BZ32">
        <v>3.125E-2</v>
      </c>
    </row>
    <row r="33" spans="1:78" ht="15" thickBot="1" x14ac:dyDescent="0.35">
      <c r="A33" s="21"/>
      <c r="B33" s="21"/>
      <c r="C33" s="16">
        <v>63.422000000000025</v>
      </c>
      <c r="D33" s="17">
        <v>2986</v>
      </c>
      <c r="E33" s="17">
        <v>2928</v>
      </c>
      <c r="F33" s="11">
        <v>2917</v>
      </c>
      <c r="G33" s="1">
        <f t="shared" si="0"/>
        <v>1.9808743169398908E-2</v>
      </c>
      <c r="H33" s="73">
        <f t="shared" si="1"/>
        <v>2.3654439492629412E-2</v>
      </c>
      <c r="I33" s="117">
        <v>63.422000000000025</v>
      </c>
      <c r="J33" s="36">
        <v>2986</v>
      </c>
      <c r="K33" s="36">
        <v>2928</v>
      </c>
      <c r="L33" s="37">
        <v>2917</v>
      </c>
      <c r="M33" s="36"/>
      <c r="N33" s="47">
        <v>1.9808743169398908E-2</v>
      </c>
      <c r="O33" s="77">
        <v>2.3654439492629412E-2</v>
      </c>
      <c r="AH33">
        <v>5.4861E-2</v>
      </c>
      <c r="AI33">
        <v>9.8011000000000001E-2</v>
      </c>
      <c r="AJ33">
        <v>6.3589999999999994E-2</v>
      </c>
      <c r="AK33">
        <v>7.5893000000000002E-2</v>
      </c>
      <c r="AL33">
        <v>6.8978999999999999E-2</v>
      </c>
      <c r="AM33">
        <v>5.2344000000000002E-2</v>
      </c>
      <c r="AN33">
        <v>5.5287999999999997E-2</v>
      </c>
      <c r="AO33">
        <v>5.7977000000000001E-2</v>
      </c>
      <c r="AP33">
        <v>5.5321000000000002E-2</v>
      </c>
      <c r="AQ33">
        <v>5.8594E-2</v>
      </c>
      <c r="AR33">
        <v>4.6875E-2</v>
      </c>
      <c r="AS33">
        <v>5.1929999999999997E-2</v>
      </c>
      <c r="AT33">
        <v>4.9716000000000003E-2</v>
      </c>
      <c r="AU33">
        <v>5.3711000000000002E-2</v>
      </c>
      <c r="AV33">
        <v>5.5947999999999998E-2</v>
      </c>
      <c r="AW33">
        <v>4.9479000000000002E-2</v>
      </c>
      <c r="AX33">
        <v>4.6336000000000002E-2</v>
      </c>
      <c r="AY33">
        <v>5.4688000000000001E-2</v>
      </c>
      <c r="AZ33">
        <v>5.0925999999999999E-2</v>
      </c>
      <c r="BA33">
        <v>4.6875E-2</v>
      </c>
      <c r="BB33">
        <v>5.2499999999999998E-2</v>
      </c>
      <c r="BC33">
        <v>5.4688000000000001E-2</v>
      </c>
      <c r="BD33">
        <v>6.4537999999999998E-2</v>
      </c>
      <c r="BE33">
        <v>6.0368999999999999E-2</v>
      </c>
      <c r="BF33">
        <v>5.7292000000000003E-2</v>
      </c>
      <c r="BG33">
        <v>4.9218999999999999E-2</v>
      </c>
      <c r="BH33">
        <v>4.8520000000000001E-2</v>
      </c>
      <c r="BI33">
        <v>5.3818999999999999E-2</v>
      </c>
      <c r="BJ33">
        <v>5.6065999999999998E-2</v>
      </c>
      <c r="BK33">
        <v>4.4921999999999997E-2</v>
      </c>
      <c r="BL33">
        <v>4.1667000000000003E-2</v>
      </c>
      <c r="BM33">
        <v>4.6875E-2</v>
      </c>
      <c r="BN33">
        <v>4.6875E-2</v>
      </c>
      <c r="BO33">
        <v>4.9479000000000002E-2</v>
      </c>
      <c r="BP33">
        <v>6.5340999999999996E-2</v>
      </c>
      <c r="BQ33">
        <v>4.5311999999999998E-2</v>
      </c>
      <c r="BR33">
        <v>5.2082999999999997E-2</v>
      </c>
      <c r="BS33">
        <v>5.8594E-2</v>
      </c>
      <c r="BT33">
        <v>5.3571000000000001E-2</v>
      </c>
      <c r="BU33">
        <v>5.7292000000000003E-2</v>
      </c>
      <c r="BV33">
        <v>0.05</v>
      </c>
      <c r="BW33">
        <v>6.6406000000000007E-2</v>
      </c>
      <c r="BX33">
        <v>6.7708000000000004E-2</v>
      </c>
      <c r="BY33">
        <v>7.0311999999999999E-2</v>
      </c>
      <c r="BZ33">
        <v>1.5625E-2</v>
      </c>
    </row>
    <row r="35" spans="1:78" x14ac:dyDescent="0.3">
      <c r="Q35" s="44"/>
      <c r="AH35">
        <f>AVERAGE(AH4:AH33)</f>
        <v>6.4629699999999998E-2</v>
      </c>
      <c r="AI35">
        <f t="shared" ref="AI35:BZ35" si="8">AVERAGE(AI4:AI33)</f>
        <v>6.593276666666667E-2</v>
      </c>
      <c r="AJ35">
        <f t="shared" si="8"/>
        <v>6.4498600000000003E-2</v>
      </c>
      <c r="AK35">
        <f t="shared" si="8"/>
        <v>6.6865199999999986E-2</v>
      </c>
      <c r="AL35">
        <f t="shared" si="8"/>
        <v>6.6869966666666683E-2</v>
      </c>
      <c r="AM35">
        <f t="shared" si="8"/>
        <v>6.398443333333334E-2</v>
      </c>
      <c r="AN35">
        <f t="shared" si="8"/>
        <v>6.3715233333333329E-2</v>
      </c>
      <c r="AO35">
        <f t="shared" si="8"/>
        <v>5.9347666666666667E-2</v>
      </c>
      <c r="AP35">
        <f t="shared" si="8"/>
        <v>5.3476866666666657E-2</v>
      </c>
      <c r="AQ35">
        <f t="shared" si="8"/>
        <v>5.4499366666666667E-2</v>
      </c>
      <c r="AR35">
        <f t="shared" si="8"/>
        <v>5.4925599999999998E-2</v>
      </c>
      <c r="AS35">
        <f t="shared" si="8"/>
        <v>5.4442300000000006E-2</v>
      </c>
      <c r="AT35">
        <f t="shared" si="8"/>
        <v>5.5350433333333331E-2</v>
      </c>
      <c r="AU35">
        <f t="shared" si="8"/>
        <v>5.4736300000000002E-2</v>
      </c>
      <c r="AV35">
        <f t="shared" si="8"/>
        <v>5.5661999999999996E-2</v>
      </c>
      <c r="AW35">
        <f t="shared" si="8"/>
        <v>5.5190900000000015E-2</v>
      </c>
      <c r="AX35">
        <f t="shared" si="8"/>
        <v>5.3951133333333331E-2</v>
      </c>
      <c r="AY35">
        <f t="shared" si="8"/>
        <v>5.2288066666666667E-2</v>
      </c>
      <c r="AZ35">
        <f t="shared" si="8"/>
        <v>5.3375733333333342E-2</v>
      </c>
      <c r="BA35">
        <f t="shared" si="8"/>
        <v>5.3946266666666673E-2</v>
      </c>
      <c r="BB35">
        <f t="shared" si="8"/>
        <v>5.4166666666666662E-2</v>
      </c>
      <c r="BC35">
        <f t="shared" si="8"/>
        <v>5.2755933333333352E-2</v>
      </c>
      <c r="BD35">
        <f t="shared" si="8"/>
        <v>5.3894966666666676E-2</v>
      </c>
      <c r="BE35">
        <f t="shared" si="8"/>
        <v>5.3645799999999993E-2</v>
      </c>
      <c r="BF35">
        <f t="shared" si="8"/>
        <v>5.3720299999999978E-2</v>
      </c>
      <c r="BG35">
        <f t="shared" si="8"/>
        <v>5.3567766666666655E-2</v>
      </c>
      <c r="BH35">
        <f t="shared" si="8"/>
        <v>5.4385999999999983E-2</v>
      </c>
      <c r="BI35">
        <f t="shared" si="8"/>
        <v>5.3819499999999992E-2</v>
      </c>
      <c r="BJ35">
        <f t="shared" si="8"/>
        <v>5.4442400000000009E-2</v>
      </c>
      <c r="BK35">
        <f t="shared" si="8"/>
        <v>5.432950000000001E-2</v>
      </c>
      <c r="BL35">
        <f t="shared" si="8"/>
        <v>5.3298633333333331E-2</v>
      </c>
      <c r="BM35">
        <f t="shared" si="8"/>
        <v>5.4464266666666677E-2</v>
      </c>
      <c r="BN35">
        <f t="shared" si="8"/>
        <v>5.5729100000000004E-2</v>
      </c>
      <c r="BO35">
        <f t="shared" si="8"/>
        <v>5.6250033333333338E-2</v>
      </c>
      <c r="BP35">
        <f t="shared" si="8"/>
        <v>5.8475400000000004E-2</v>
      </c>
      <c r="BQ35">
        <f t="shared" si="8"/>
        <v>5.5468700000000003E-2</v>
      </c>
      <c r="BR35">
        <f t="shared" si="8"/>
        <v>5.6134200000000002E-2</v>
      </c>
      <c r="BS35">
        <f t="shared" si="8"/>
        <v>5.6640633333333329E-2</v>
      </c>
      <c r="BT35">
        <f t="shared" si="8"/>
        <v>5.7812400000000007E-2</v>
      </c>
      <c r="BU35">
        <f t="shared" si="8"/>
        <v>5.95486E-2</v>
      </c>
      <c r="BV35">
        <f t="shared" si="8"/>
        <v>7.4479166666666666E-2</v>
      </c>
      <c r="BW35">
        <f t="shared" si="8"/>
        <v>6.1718733333333338E-2</v>
      </c>
      <c r="BX35">
        <f t="shared" si="8"/>
        <v>6.1979166666666669E-2</v>
      </c>
      <c r="BY35">
        <f t="shared" si="8"/>
        <v>6.3541733333333336E-2</v>
      </c>
      <c r="BZ35">
        <f t="shared" si="8"/>
        <v>5.5208333333333331E-2</v>
      </c>
    </row>
    <row r="36" spans="1:78" x14ac:dyDescent="0.3">
      <c r="C36">
        <f>AVERAGE(C4:C33)</f>
        <v>60.454166666666666</v>
      </c>
      <c r="I36">
        <f>AVERAGE(I4:I33)</f>
        <v>60.454166666666666</v>
      </c>
      <c r="J36" t="s">
        <v>17</v>
      </c>
      <c r="N36">
        <f>AVERAGE(N4:N33)</f>
        <v>3.5344685751040508E-2</v>
      </c>
      <c r="O36">
        <f>AVERAGE(O4:O33)</f>
        <v>4.0885335558244952E-2</v>
      </c>
      <c r="Q36" s="44"/>
      <c r="S36" s="121"/>
      <c r="T36" s="121"/>
      <c r="U36" s="121"/>
      <c r="V36" s="121"/>
      <c r="W36" s="121"/>
      <c r="Y36" s="121"/>
      <c r="Z36" s="121"/>
      <c r="AA36" s="121"/>
      <c r="AB36" s="121"/>
      <c r="AC36" s="121"/>
      <c r="AD36" s="121"/>
      <c r="AE36" s="121"/>
    </row>
    <row r="37" spans="1:78" x14ac:dyDescent="0.3">
      <c r="I37">
        <f>_xlfn.STDEV.S(I4:I33)</f>
        <v>2.9496383189543169</v>
      </c>
      <c r="J37" s="44">
        <f>I37/I36</f>
        <v>4.8791315497211114E-2</v>
      </c>
      <c r="Q37" s="44"/>
      <c r="S37" s="121"/>
      <c r="T37" s="121"/>
      <c r="U37" s="121"/>
      <c r="V37" s="121"/>
      <c r="W37" s="121"/>
      <c r="Y37" s="121"/>
      <c r="Z37" s="121"/>
      <c r="AA37" s="121"/>
      <c r="AB37" s="121"/>
      <c r="AC37" s="121"/>
      <c r="AD37" s="121"/>
      <c r="AE37" s="121"/>
      <c r="AH37">
        <f>AVERAGE(AH35:BZ35)</f>
        <v>5.7492588148148144E-2</v>
      </c>
    </row>
    <row r="59" spans="3:59" ht="15" thickBot="1" x14ac:dyDescent="0.35">
      <c r="C59" s="44" t="s">
        <v>86</v>
      </c>
      <c r="D59" s="44" t="s">
        <v>87</v>
      </c>
    </row>
    <row r="60" spans="3:59" x14ac:dyDescent="0.3">
      <c r="C60" s="27" t="s">
        <v>3</v>
      </c>
      <c r="D60" s="28"/>
      <c r="E60" s="28"/>
      <c r="F60" s="28"/>
      <c r="G60" s="28"/>
      <c r="H60" s="28"/>
      <c r="I60" s="5" t="s">
        <v>12</v>
      </c>
      <c r="J60" s="22"/>
      <c r="K60" s="22"/>
      <c r="L60" s="22"/>
      <c r="M60" s="22"/>
      <c r="N60" s="22"/>
      <c r="O60" s="6"/>
    </row>
    <row r="61" spans="3:59" x14ac:dyDescent="0.3">
      <c r="C61" s="15" t="s">
        <v>4</v>
      </c>
      <c r="D61" s="14" t="s">
        <v>0</v>
      </c>
      <c r="E61" s="14" t="s">
        <v>7</v>
      </c>
      <c r="F61" s="3" t="s">
        <v>8</v>
      </c>
      <c r="G61" s="13" t="s">
        <v>9</v>
      </c>
      <c r="H61" s="55" t="s">
        <v>10</v>
      </c>
      <c r="I61" s="71" t="s">
        <v>4</v>
      </c>
      <c r="J61" s="48" t="s">
        <v>0</v>
      </c>
      <c r="K61" s="48" t="s">
        <v>7</v>
      </c>
      <c r="L61" s="55" t="s">
        <v>8</v>
      </c>
      <c r="M61" s="13" t="s">
        <v>9</v>
      </c>
      <c r="N61" s="1" t="s">
        <v>10</v>
      </c>
      <c r="O61" s="69" t="s">
        <v>18</v>
      </c>
      <c r="Q61" t="s">
        <v>15</v>
      </c>
      <c r="R61">
        <f>SQRT(29)</f>
        <v>5.3851648071345037</v>
      </c>
    </row>
    <row r="62" spans="3:59" ht="15" thickBot="1" x14ac:dyDescent="0.35">
      <c r="C62" s="20"/>
      <c r="D62" s="13"/>
      <c r="E62" s="2"/>
      <c r="F62" s="1"/>
      <c r="G62" s="13"/>
      <c r="I62" s="49">
        <v>24.61</v>
      </c>
      <c r="J62" s="32">
        <v>1951</v>
      </c>
      <c r="K62" s="32">
        <v>1641</v>
      </c>
      <c r="L62" s="33">
        <v>1625</v>
      </c>
      <c r="M62" s="32">
        <f>(J62-K62)/K62</f>
        <v>0.18890920170627665</v>
      </c>
      <c r="N62" s="66">
        <f>(J62-K62)/K62</f>
        <v>0.18890920170627665</v>
      </c>
      <c r="O62" s="66">
        <f>(J62-L62)/L62</f>
        <v>0.20061538461538461</v>
      </c>
      <c r="S62" t="s">
        <v>16</v>
      </c>
      <c r="T62" t="s">
        <v>44</v>
      </c>
      <c r="U62" t="s">
        <v>8</v>
      </c>
      <c r="AI62">
        <v>9.4375000000000001E-2</v>
      </c>
      <c r="AJ62">
        <v>9.375E-2</v>
      </c>
      <c r="AK62">
        <v>9.8504999999999995E-2</v>
      </c>
      <c r="AL62">
        <v>0.112216</v>
      </c>
      <c r="AM62">
        <v>0.113095</v>
      </c>
      <c r="AN62">
        <v>0.1125</v>
      </c>
      <c r="AO62">
        <v>0.101151</v>
      </c>
      <c r="AP62">
        <v>0.113715</v>
      </c>
      <c r="AQ62">
        <v>0.101103</v>
      </c>
      <c r="AR62">
        <v>0.106445</v>
      </c>
      <c r="AS62">
        <v>9.6875000000000003E-2</v>
      </c>
      <c r="AT62">
        <v>9.9330000000000002E-2</v>
      </c>
      <c r="AU62">
        <v>0.11057699999999999</v>
      </c>
      <c r="AV62">
        <v>0.109375</v>
      </c>
      <c r="AW62">
        <v>0.102273</v>
      </c>
      <c r="AX62">
        <v>9.2188000000000006E-2</v>
      </c>
      <c r="AY62">
        <v>9.5486000000000001E-2</v>
      </c>
      <c r="AZ62">
        <v>0.109375</v>
      </c>
      <c r="BA62">
        <v>0.107143</v>
      </c>
      <c r="BB62">
        <v>9.1146000000000005E-2</v>
      </c>
      <c r="BC62">
        <v>9.6875000000000003E-2</v>
      </c>
      <c r="BD62">
        <v>8.5938000000000001E-2</v>
      </c>
      <c r="BE62">
        <v>0.119792</v>
      </c>
      <c r="BF62">
        <v>7.8125E-2</v>
      </c>
      <c r="BG62">
        <v>9.375E-2</v>
      </c>
    </row>
    <row r="63" spans="3:59" x14ac:dyDescent="0.3">
      <c r="C63" s="15"/>
      <c r="D63" s="14"/>
      <c r="E63" s="4"/>
      <c r="F63" s="3"/>
      <c r="G63" s="14"/>
      <c r="I63" s="51">
        <v>22.578000000000003</v>
      </c>
      <c r="J63" s="34">
        <v>1976</v>
      </c>
      <c r="K63" s="34">
        <v>1662</v>
      </c>
      <c r="L63" s="35">
        <v>1642</v>
      </c>
      <c r="M63" s="34">
        <f t="shared" ref="M63:M91" si="9">(J63-K63)/K63</f>
        <v>0.18892900120336945</v>
      </c>
      <c r="N63" s="67">
        <f t="shared" ref="N63:N78" si="10">(J63-K63)/K63</f>
        <v>0.18892900120336945</v>
      </c>
      <c r="O63" s="67">
        <f t="shared" ref="O63:O78" si="11">(J63-L63)/L63</f>
        <v>0.20341047503045068</v>
      </c>
      <c r="Q63" s="5">
        <v>0</v>
      </c>
      <c r="R63" s="22">
        <v>0.05</v>
      </c>
      <c r="S63" s="59">
        <f>COUNTIFS($M$62:$M$91,"&lt;"&amp;R63,$M$62:$M$91,"&gt;="&amp;Q63)/30</f>
        <v>0</v>
      </c>
      <c r="T63" s="56">
        <f>COUNTIFS($N$62:$N$91,"&lt;"&amp;R63,$N$62:$N$91,"&gt;="&amp;Q63)/17</f>
        <v>0</v>
      </c>
      <c r="U63" s="62">
        <f>COUNTIFS($O$62:$O$91,"&lt;"&amp;R63,$O$62:$O$91,"&gt;="&amp;Q63)/17</f>
        <v>0</v>
      </c>
      <c r="V63" s="6" t="str">
        <f>_xlfn.CONCAT(TEXT(Q63,"0.00"),"-",TEXT(R63,"0.00"))</f>
        <v>0.00-0.05</v>
      </c>
      <c r="AI63">
        <v>9.8125000000000004E-2</v>
      </c>
      <c r="AJ63">
        <v>0.115234</v>
      </c>
      <c r="AK63">
        <v>0.10462</v>
      </c>
      <c r="AL63">
        <v>0.109375</v>
      </c>
      <c r="AM63">
        <v>0.111607</v>
      </c>
      <c r="AN63">
        <v>0.114844</v>
      </c>
      <c r="AO63">
        <v>9.9506999999999998E-2</v>
      </c>
      <c r="AP63">
        <v>0.111111</v>
      </c>
      <c r="AQ63">
        <v>9.6506999999999996E-2</v>
      </c>
      <c r="AR63">
        <v>0.10253900000000001</v>
      </c>
      <c r="AS63">
        <v>0.111458</v>
      </c>
      <c r="AT63">
        <v>9.7098000000000004E-2</v>
      </c>
      <c r="AU63">
        <v>9.8558000000000007E-2</v>
      </c>
      <c r="AV63">
        <v>9.375E-2</v>
      </c>
      <c r="AW63">
        <v>7.5284000000000004E-2</v>
      </c>
      <c r="AX63">
        <v>0.10625</v>
      </c>
      <c r="AY63">
        <v>9.375E-2</v>
      </c>
      <c r="AZ63">
        <v>9.375E-2</v>
      </c>
      <c r="BA63">
        <v>0.107143</v>
      </c>
      <c r="BB63">
        <v>0.117188</v>
      </c>
      <c r="BC63">
        <v>0.1</v>
      </c>
      <c r="BD63">
        <v>7.8125E-2</v>
      </c>
      <c r="BE63">
        <v>9.375E-2</v>
      </c>
      <c r="BF63">
        <v>0.101562</v>
      </c>
      <c r="BG63">
        <v>3.125E-2</v>
      </c>
    </row>
    <row r="64" spans="3:59" x14ac:dyDescent="0.3">
      <c r="C64" s="15"/>
      <c r="D64" s="14"/>
      <c r="E64" s="4"/>
      <c r="F64" s="3"/>
      <c r="G64" s="14"/>
      <c r="I64" s="51">
        <v>26.108999999999995</v>
      </c>
      <c r="J64" s="34">
        <v>1922</v>
      </c>
      <c r="K64" s="34">
        <v>1664</v>
      </c>
      <c r="L64" s="35">
        <v>1605</v>
      </c>
      <c r="M64" s="34">
        <f t="shared" si="9"/>
        <v>0.15504807692307693</v>
      </c>
      <c r="N64" s="67">
        <f t="shared" si="10"/>
        <v>0.15504807692307693</v>
      </c>
      <c r="O64" s="67">
        <f t="shared" si="11"/>
        <v>0.19750778816199377</v>
      </c>
      <c r="Q64" s="7">
        <f t="shared" ref="Q64" si="12">R63</f>
        <v>0.05</v>
      </c>
      <c r="R64">
        <f>Q64+0.05</f>
        <v>0.1</v>
      </c>
      <c r="S64" s="60">
        <f t="shared" ref="S64:S65" si="13">COUNTIFS($M$62:$M$91,"&lt;"&amp;R64,$M$62:$M$91,"&gt;="&amp;Q64)/30</f>
        <v>0</v>
      </c>
      <c r="T64" s="57">
        <f t="shared" ref="T64" si="14">COUNTIFS($N$62:$N$91,"&lt;"&amp;R64,$N$62:$N$91,"&gt;="&amp;Q64)/17</f>
        <v>0</v>
      </c>
      <c r="U64" s="63">
        <f t="shared" ref="U64" si="15">COUNTIFS($O$62:$O$91,"&lt;"&amp;R64,$O$62:$O$91,"&gt;="&amp;Q64)/17</f>
        <v>0</v>
      </c>
      <c r="V64" s="8" t="str">
        <f t="shared" ref="V64:V70" si="16">_xlfn.CONCAT(TEXT(Q64,"0.00"),"-",TEXT(R64,"0.00"))</f>
        <v>0.05-0.10</v>
      </c>
      <c r="AI64">
        <v>9.3124999999999999E-2</v>
      </c>
      <c r="AJ64">
        <v>9.7004999999999994E-2</v>
      </c>
      <c r="AK64">
        <v>0.10190200000000001</v>
      </c>
      <c r="AL64">
        <v>0.101562</v>
      </c>
      <c r="AM64">
        <v>9.5238000000000003E-2</v>
      </c>
      <c r="AN64">
        <v>0.101562</v>
      </c>
      <c r="AO64">
        <v>8.6348999999999995E-2</v>
      </c>
      <c r="AP64">
        <v>0.107639</v>
      </c>
      <c r="AQ64">
        <v>9.5588000000000006E-2</v>
      </c>
      <c r="AR64">
        <v>9.6680000000000002E-2</v>
      </c>
      <c r="AS64">
        <v>9.5833000000000002E-2</v>
      </c>
      <c r="AT64">
        <v>0.103795</v>
      </c>
      <c r="AU64">
        <v>0.106971</v>
      </c>
      <c r="AV64">
        <v>9.2448000000000002E-2</v>
      </c>
      <c r="AW64">
        <v>0.100852</v>
      </c>
      <c r="AX64">
        <v>0.114062</v>
      </c>
      <c r="AY64">
        <v>0.10243099999999999</v>
      </c>
      <c r="AZ64">
        <v>8.5938000000000001E-2</v>
      </c>
      <c r="BA64">
        <v>9.375E-2</v>
      </c>
      <c r="BB64">
        <v>9.375E-2</v>
      </c>
      <c r="BC64">
        <v>9.6875000000000003E-2</v>
      </c>
      <c r="BD64">
        <v>9.7656000000000007E-2</v>
      </c>
      <c r="BE64">
        <v>9.8958000000000004E-2</v>
      </c>
      <c r="BF64">
        <v>7.0311999999999999E-2</v>
      </c>
      <c r="BG64">
        <v>7.8125E-2</v>
      </c>
    </row>
    <row r="65" spans="3:59" x14ac:dyDescent="0.3">
      <c r="C65" s="15"/>
      <c r="D65" s="14"/>
      <c r="E65" s="4"/>
      <c r="F65" s="3"/>
      <c r="G65" s="14"/>
      <c r="I65" s="51">
        <v>30.75</v>
      </c>
      <c r="J65" s="34">
        <v>2027</v>
      </c>
      <c r="K65" s="34">
        <v>1702</v>
      </c>
      <c r="L65" s="35">
        <v>1688</v>
      </c>
      <c r="M65" s="34">
        <f t="shared" si="9"/>
        <v>0.19095182138660399</v>
      </c>
      <c r="N65" s="67">
        <f t="shared" si="10"/>
        <v>0.19095182138660399</v>
      </c>
      <c r="O65" s="67">
        <f t="shared" si="11"/>
        <v>0.20082938388625593</v>
      </c>
      <c r="Q65" s="7">
        <f t="shared" ref="Q65:Q69" si="17">R64</f>
        <v>0.1</v>
      </c>
      <c r="R65">
        <f t="shared" ref="R65:R70" si="18">Q65+0.05</f>
        <v>0.15000000000000002</v>
      </c>
      <c r="S65" s="60">
        <f t="shared" si="13"/>
        <v>0.2</v>
      </c>
      <c r="T65" s="57">
        <f>COUNTIFS($N$62:$N$91,"&lt;"&amp;R65,$N$62:$N$91,"&gt;="&amp;Q65)/30</f>
        <v>0.2</v>
      </c>
      <c r="U65" s="63">
        <f>COUNTIFS($O$62:$O$91,"&lt;"&amp;R65,$O$62:$O$91,"&gt;="&amp;Q65)/30</f>
        <v>0.1</v>
      </c>
      <c r="V65" s="8" t="str">
        <f t="shared" si="16"/>
        <v>0.10-0.15</v>
      </c>
      <c r="AI65">
        <v>0.11687500000000001</v>
      </c>
      <c r="AJ65">
        <v>0.14257800000000001</v>
      </c>
      <c r="AK65">
        <v>0.14809800000000001</v>
      </c>
      <c r="AL65">
        <v>0.135653</v>
      </c>
      <c r="AM65">
        <v>0.12797600000000001</v>
      </c>
      <c r="AN65">
        <v>0.135937</v>
      </c>
      <c r="AO65">
        <v>0.14227000000000001</v>
      </c>
      <c r="AP65">
        <v>0.14756900000000001</v>
      </c>
      <c r="AQ65">
        <v>0.132353</v>
      </c>
      <c r="AR65">
        <v>0.15527299999999999</v>
      </c>
      <c r="AS65">
        <v>0.15104200000000001</v>
      </c>
      <c r="AT65">
        <v>0.13392899999999999</v>
      </c>
      <c r="AU65">
        <v>0.132212</v>
      </c>
      <c r="AV65">
        <v>0.14974000000000001</v>
      </c>
      <c r="AW65">
        <v>0.12358</v>
      </c>
      <c r="AX65">
        <v>0.13906299999999999</v>
      </c>
      <c r="AY65">
        <v>0.11805599999999999</v>
      </c>
      <c r="AZ65">
        <v>0.12890599999999999</v>
      </c>
      <c r="BA65">
        <v>0.11607099999999999</v>
      </c>
      <c r="BB65">
        <v>0.119792</v>
      </c>
      <c r="BC65">
        <v>0.15</v>
      </c>
      <c r="BD65">
        <v>0.12890599999999999</v>
      </c>
      <c r="BE65">
        <v>0.114583</v>
      </c>
      <c r="BF65">
        <v>0.101562</v>
      </c>
      <c r="BG65">
        <v>0.171875</v>
      </c>
    </row>
    <row r="66" spans="3:59" x14ac:dyDescent="0.3">
      <c r="C66" s="15"/>
      <c r="D66" s="14"/>
      <c r="E66" s="4"/>
      <c r="F66" s="3"/>
      <c r="G66" s="14"/>
      <c r="I66" s="51">
        <v>27.031000000000006</v>
      </c>
      <c r="J66" s="34">
        <v>1880</v>
      </c>
      <c r="K66" s="34">
        <v>1605</v>
      </c>
      <c r="L66" s="35">
        <v>1540</v>
      </c>
      <c r="M66" s="34">
        <f t="shared" si="9"/>
        <v>0.17133956386292834</v>
      </c>
      <c r="N66" s="67">
        <f t="shared" si="10"/>
        <v>0.17133956386292834</v>
      </c>
      <c r="O66" s="67">
        <f t="shared" si="11"/>
        <v>0.22077922077922077</v>
      </c>
      <c r="Q66" s="7">
        <f t="shared" si="17"/>
        <v>0.15000000000000002</v>
      </c>
      <c r="R66">
        <f t="shared" si="18"/>
        <v>0.2</v>
      </c>
      <c r="S66" s="60">
        <f t="shared" ref="S66:S70" si="19">COUNTIFS($M$62:$M$91,"&lt;"&amp;R66,$M$62:$M$91,"&gt;="&amp;Q66)/30</f>
        <v>0.46666666666666667</v>
      </c>
      <c r="T66" s="57">
        <f t="shared" ref="T66:T70" si="20">COUNTIFS($N$62:$N$91,"&lt;"&amp;R66,$N$62:$N$91,"&gt;="&amp;Q66)/30</f>
        <v>0.46666666666666667</v>
      </c>
      <c r="U66" s="63">
        <f t="shared" ref="U66:U70" si="21">COUNTIFS($O$62:$O$91,"&lt;"&amp;R66,$O$62:$O$91,"&gt;="&amp;Q66)/30</f>
        <v>0.3</v>
      </c>
      <c r="V66" s="8" t="str">
        <f t="shared" si="16"/>
        <v>0.15-0.20</v>
      </c>
      <c r="Y66">
        <f>AVERAGE(N62:N91)</f>
        <v>0.18498875297554862</v>
      </c>
      <c r="Z66">
        <f>AVERAGE(O62:O91)</f>
        <v>0.21261622427996249</v>
      </c>
      <c r="AI66">
        <v>0.1275</v>
      </c>
      <c r="AJ66">
        <v>0.12890599999999999</v>
      </c>
      <c r="AK66">
        <v>0.13994599999999999</v>
      </c>
      <c r="AL66">
        <v>0.14630699999999999</v>
      </c>
      <c r="AM66">
        <v>0.144345</v>
      </c>
      <c r="AN66">
        <v>0.13906299999999999</v>
      </c>
      <c r="AO66">
        <v>0.143092</v>
      </c>
      <c r="AP66">
        <v>0.13194400000000001</v>
      </c>
      <c r="AQ66">
        <v>0.139706</v>
      </c>
      <c r="AR66">
        <v>0.129883</v>
      </c>
      <c r="AS66">
        <v>0.14895800000000001</v>
      </c>
      <c r="AT66">
        <v>0.13839299999999999</v>
      </c>
      <c r="AU66">
        <v>0.137019</v>
      </c>
      <c r="AV66">
        <v>0.154948</v>
      </c>
      <c r="AW66">
        <v>0.16193199999999999</v>
      </c>
      <c r="AX66">
        <v>0.114062</v>
      </c>
      <c r="AY66">
        <v>0.11631900000000001</v>
      </c>
      <c r="AZ66">
        <v>0.14453099999999999</v>
      </c>
      <c r="BA66">
        <v>0.12723200000000001</v>
      </c>
      <c r="BB66">
        <v>0.14583299999999999</v>
      </c>
      <c r="BC66">
        <v>0.15</v>
      </c>
      <c r="BD66">
        <v>0.16406200000000001</v>
      </c>
      <c r="BE66">
        <v>0.15625</v>
      </c>
      <c r="BF66">
        <v>0.117188</v>
      </c>
      <c r="BG66">
        <v>4.6875E-2</v>
      </c>
    </row>
    <row r="67" spans="3:59" x14ac:dyDescent="0.3">
      <c r="C67" s="15"/>
      <c r="D67" s="14"/>
      <c r="E67" s="4"/>
      <c r="F67" s="3"/>
      <c r="G67" s="14"/>
      <c r="I67" s="51">
        <v>29.468999999999994</v>
      </c>
      <c r="J67" s="34">
        <v>2034</v>
      </c>
      <c r="K67" s="34">
        <v>1676</v>
      </c>
      <c r="L67" s="35">
        <v>1676</v>
      </c>
      <c r="M67" s="34">
        <f t="shared" si="9"/>
        <v>0.21360381861575178</v>
      </c>
      <c r="N67" s="67">
        <f t="shared" si="10"/>
        <v>0.21360381861575178</v>
      </c>
      <c r="O67" s="67">
        <f t="shared" si="11"/>
        <v>0.21360381861575178</v>
      </c>
      <c r="Q67" s="7">
        <f t="shared" si="17"/>
        <v>0.2</v>
      </c>
      <c r="R67">
        <f t="shared" si="18"/>
        <v>0.25</v>
      </c>
      <c r="S67" s="60">
        <f t="shared" si="19"/>
        <v>0.3</v>
      </c>
      <c r="T67" s="57">
        <f t="shared" si="20"/>
        <v>0.3</v>
      </c>
      <c r="U67" s="63">
        <f t="shared" si="21"/>
        <v>0.4</v>
      </c>
      <c r="V67" s="8" t="str">
        <f t="shared" si="16"/>
        <v>0.20-0.25</v>
      </c>
      <c r="AI67">
        <v>0.13312499999999999</v>
      </c>
      <c r="AJ67">
        <v>0.143229</v>
      </c>
      <c r="AK67">
        <v>0.11413</v>
      </c>
      <c r="AL67">
        <v>0.12286900000000001</v>
      </c>
      <c r="AM67">
        <v>0.13913700000000001</v>
      </c>
      <c r="AN67">
        <v>0.13750000000000001</v>
      </c>
      <c r="AO67">
        <v>0.14391399999999999</v>
      </c>
      <c r="AP67">
        <v>0.13368099999999999</v>
      </c>
      <c r="AQ67">
        <v>0.14430100000000001</v>
      </c>
      <c r="AR67">
        <v>0.12207</v>
      </c>
      <c r="AS67">
        <v>0.14166699999999999</v>
      </c>
      <c r="AT67">
        <v>0.11607099999999999</v>
      </c>
      <c r="AU67">
        <v>0.12740399999999999</v>
      </c>
      <c r="AV67">
        <v>0.13411500000000001</v>
      </c>
      <c r="AW67">
        <v>0.15625</v>
      </c>
      <c r="AX67">
        <v>0.11874999999999999</v>
      </c>
      <c r="AY67">
        <v>0.109375</v>
      </c>
      <c r="AZ67">
        <v>0.12695300000000001</v>
      </c>
      <c r="BA67">
        <v>0.129464</v>
      </c>
      <c r="BB67">
        <v>0.104167</v>
      </c>
      <c r="BC67">
        <v>0.125</v>
      </c>
      <c r="BD67">
        <v>0.13281200000000001</v>
      </c>
      <c r="BE67">
        <v>0.104167</v>
      </c>
      <c r="BF67">
        <v>0.101562</v>
      </c>
      <c r="BG67">
        <v>7.8125E-2</v>
      </c>
    </row>
    <row r="68" spans="3:59" x14ac:dyDescent="0.3">
      <c r="C68" s="15"/>
      <c r="D68" s="14"/>
      <c r="E68" s="4"/>
      <c r="F68" s="3"/>
      <c r="G68" s="14"/>
      <c r="I68" s="51">
        <v>30.140999999999991</v>
      </c>
      <c r="J68" s="34">
        <v>1866</v>
      </c>
      <c r="K68" s="34">
        <v>1621</v>
      </c>
      <c r="L68" s="35">
        <v>1606</v>
      </c>
      <c r="M68" s="34">
        <f t="shared" si="9"/>
        <v>0.15114127082048118</v>
      </c>
      <c r="N68" s="67">
        <f t="shared" si="10"/>
        <v>0.15114127082048118</v>
      </c>
      <c r="O68" s="67">
        <f t="shared" si="11"/>
        <v>0.16189290161892902</v>
      </c>
      <c r="Q68" s="7">
        <f t="shared" si="17"/>
        <v>0.25</v>
      </c>
      <c r="R68">
        <f t="shared" si="18"/>
        <v>0.3</v>
      </c>
      <c r="S68" s="60">
        <f t="shared" si="19"/>
        <v>3.3333333333333333E-2</v>
      </c>
      <c r="T68" s="57">
        <f t="shared" si="20"/>
        <v>3.3333333333333333E-2</v>
      </c>
      <c r="U68" s="63">
        <f t="shared" si="21"/>
        <v>0.16666666666666666</v>
      </c>
      <c r="V68" s="8" t="str">
        <f t="shared" si="16"/>
        <v>0.25-0.30</v>
      </c>
      <c r="AI68">
        <v>0.10375</v>
      </c>
      <c r="AJ68">
        <v>0.134766</v>
      </c>
      <c r="AK68">
        <v>0.14130400000000001</v>
      </c>
      <c r="AL68">
        <v>0.114347</v>
      </c>
      <c r="AM68">
        <v>9.8213999999999996E-2</v>
      </c>
      <c r="AN68">
        <v>0.13359399999999999</v>
      </c>
      <c r="AO68">
        <v>0.121711</v>
      </c>
      <c r="AP68">
        <v>0.125</v>
      </c>
      <c r="AQ68">
        <v>0.12683800000000001</v>
      </c>
      <c r="AR68">
        <v>0.11328100000000001</v>
      </c>
      <c r="AS68">
        <v>0.11770799999999999</v>
      </c>
      <c r="AT68">
        <v>0.129464</v>
      </c>
      <c r="AU68">
        <v>0.106971</v>
      </c>
      <c r="AV68">
        <v>0.12109399999999999</v>
      </c>
      <c r="AW68">
        <v>0.14346600000000001</v>
      </c>
      <c r="AX68">
        <v>0.120313</v>
      </c>
      <c r="AY68">
        <v>0.119792</v>
      </c>
      <c r="AZ68">
        <v>0.111328</v>
      </c>
      <c r="BA68">
        <v>0.13392899999999999</v>
      </c>
      <c r="BB68">
        <v>0.122396</v>
      </c>
      <c r="BC68">
        <v>0.11874999999999999</v>
      </c>
      <c r="BD68">
        <v>0.117188</v>
      </c>
      <c r="BE68">
        <v>0.114583</v>
      </c>
      <c r="BF68">
        <v>0.125</v>
      </c>
      <c r="BG68">
        <v>9.375E-2</v>
      </c>
    </row>
    <row r="69" spans="3:59" ht="15" thickBot="1" x14ac:dyDescent="0.35">
      <c r="C69" s="15"/>
      <c r="D69" s="14"/>
      <c r="E69" s="4"/>
      <c r="F69" s="3"/>
      <c r="G69" s="14"/>
      <c r="I69" s="51">
        <v>30.531000000000006</v>
      </c>
      <c r="J69" s="34">
        <v>2037</v>
      </c>
      <c r="K69" s="34">
        <v>1654</v>
      </c>
      <c r="L69" s="35">
        <v>1637</v>
      </c>
      <c r="M69" s="34">
        <f t="shared" si="9"/>
        <v>0.23155985489721886</v>
      </c>
      <c r="N69" s="67">
        <f t="shared" si="10"/>
        <v>0.23155985489721886</v>
      </c>
      <c r="O69" s="67">
        <f t="shared" si="11"/>
        <v>0.24434941967012827</v>
      </c>
      <c r="Q69" s="7">
        <f t="shared" si="17"/>
        <v>0.3</v>
      </c>
      <c r="R69">
        <f t="shared" si="18"/>
        <v>0.35</v>
      </c>
      <c r="S69" s="60">
        <f t="shared" si="19"/>
        <v>0</v>
      </c>
      <c r="T69" s="57">
        <f t="shared" si="20"/>
        <v>0</v>
      </c>
      <c r="U69" s="63">
        <f t="shared" si="21"/>
        <v>3.3333333333333333E-2</v>
      </c>
      <c r="V69" s="12" t="str">
        <f t="shared" si="16"/>
        <v>0.30-0.35</v>
      </c>
      <c r="AI69">
        <v>0.15</v>
      </c>
      <c r="AJ69">
        <v>0.13671900000000001</v>
      </c>
      <c r="AK69">
        <v>0.152174</v>
      </c>
      <c r="AL69">
        <v>0.16548299999999999</v>
      </c>
      <c r="AM69">
        <v>0.14136899999999999</v>
      </c>
      <c r="AN69">
        <v>0.16250000000000001</v>
      </c>
      <c r="AO69">
        <v>0.129112</v>
      </c>
      <c r="AP69">
        <v>0.121528</v>
      </c>
      <c r="AQ69">
        <v>0.134191</v>
      </c>
      <c r="AR69">
        <v>0.12792999999999999</v>
      </c>
      <c r="AS69">
        <v>0.12812499999999999</v>
      </c>
      <c r="AT69">
        <v>0.13727700000000001</v>
      </c>
      <c r="AU69">
        <v>0.12019199999999999</v>
      </c>
      <c r="AV69">
        <v>0.127604</v>
      </c>
      <c r="AW69">
        <v>0.122159</v>
      </c>
      <c r="AX69">
        <v>0.121875</v>
      </c>
      <c r="AY69">
        <v>0.15104200000000001</v>
      </c>
      <c r="AZ69">
        <v>0.134766</v>
      </c>
      <c r="BA69">
        <v>0.145089</v>
      </c>
      <c r="BB69">
        <v>0.138021</v>
      </c>
      <c r="BC69">
        <v>0.13750000000000001</v>
      </c>
      <c r="BD69">
        <v>0.13671900000000001</v>
      </c>
      <c r="BE69">
        <v>0.140625</v>
      </c>
      <c r="BF69">
        <v>0.13281200000000001</v>
      </c>
      <c r="BG69">
        <v>0.125</v>
      </c>
    </row>
    <row r="70" spans="3:59" ht="15" thickBot="1" x14ac:dyDescent="0.35">
      <c r="C70" s="15"/>
      <c r="D70" s="14"/>
      <c r="E70" s="4"/>
      <c r="F70" s="3"/>
      <c r="G70" s="14"/>
      <c r="I70" s="51">
        <v>37.75</v>
      </c>
      <c r="J70" s="34">
        <v>1942</v>
      </c>
      <c r="K70" s="34">
        <v>1668</v>
      </c>
      <c r="L70" s="35">
        <v>1603</v>
      </c>
      <c r="M70" s="34">
        <f t="shared" si="9"/>
        <v>0.16426858513189449</v>
      </c>
      <c r="N70" s="67">
        <f t="shared" si="10"/>
        <v>0.16426858513189449</v>
      </c>
      <c r="O70" s="67">
        <f t="shared" si="11"/>
        <v>0.21147847785402371</v>
      </c>
      <c r="Q70" s="7">
        <f t="shared" ref="Q70" si="22">R69</f>
        <v>0.35</v>
      </c>
      <c r="R70">
        <f t="shared" si="18"/>
        <v>0.39999999999999997</v>
      </c>
      <c r="S70" s="60">
        <f t="shared" si="19"/>
        <v>0</v>
      </c>
      <c r="T70" s="57">
        <f t="shared" si="20"/>
        <v>0</v>
      </c>
      <c r="U70" s="63">
        <f t="shared" si="21"/>
        <v>0</v>
      </c>
      <c r="V70" s="12" t="str">
        <f t="shared" si="16"/>
        <v>0.35-0.40</v>
      </c>
      <c r="AI70">
        <v>0.1275</v>
      </c>
      <c r="AJ70">
        <v>0.11849</v>
      </c>
      <c r="AK70">
        <v>0.12975500000000001</v>
      </c>
      <c r="AL70">
        <v>0.14133499999999999</v>
      </c>
      <c r="AM70">
        <v>0.10639899999999999</v>
      </c>
      <c r="AN70">
        <v>0.10781300000000001</v>
      </c>
      <c r="AO70">
        <v>0.118421</v>
      </c>
      <c r="AP70">
        <v>0.13281200000000001</v>
      </c>
      <c r="AQ70">
        <v>0.139706</v>
      </c>
      <c r="AR70">
        <v>0.125</v>
      </c>
      <c r="AS70">
        <v>0.123958</v>
      </c>
      <c r="AT70">
        <v>0.109375</v>
      </c>
      <c r="AU70">
        <v>9.7355999999999998E-2</v>
      </c>
      <c r="AV70">
        <v>0.10546899999999999</v>
      </c>
      <c r="AW70">
        <v>0.117898</v>
      </c>
      <c r="AX70">
        <v>0.125</v>
      </c>
      <c r="AY70">
        <v>0.140625</v>
      </c>
      <c r="AZ70">
        <v>0.123047</v>
      </c>
      <c r="BA70">
        <v>0.120536</v>
      </c>
      <c r="BB70">
        <v>0.13020799999999999</v>
      </c>
      <c r="BC70">
        <v>0.109375</v>
      </c>
      <c r="BD70">
        <v>0.13281200000000001</v>
      </c>
      <c r="BE70">
        <v>0.14583299999999999</v>
      </c>
      <c r="BF70">
        <v>0.125</v>
      </c>
      <c r="BG70">
        <v>7.8125E-2</v>
      </c>
    </row>
    <row r="71" spans="3:59" x14ac:dyDescent="0.3">
      <c r="C71" s="15"/>
      <c r="D71" s="14"/>
      <c r="E71" s="4"/>
      <c r="F71" s="3"/>
      <c r="G71" s="14"/>
      <c r="I71" s="51">
        <v>38.937000000000012</v>
      </c>
      <c r="J71" s="34">
        <v>2006</v>
      </c>
      <c r="K71" s="34">
        <v>1653</v>
      </c>
      <c r="L71" s="35">
        <v>1641</v>
      </c>
      <c r="M71" s="34">
        <f t="shared" si="9"/>
        <v>0.21355111917725347</v>
      </c>
      <c r="N71" s="67">
        <f t="shared" si="10"/>
        <v>0.21355111917725347</v>
      </c>
      <c r="O71" s="67">
        <f t="shared" si="11"/>
        <v>0.22242535039609995</v>
      </c>
      <c r="S71">
        <v>30</v>
      </c>
      <c r="T71">
        <v>30</v>
      </c>
      <c r="U71">
        <v>30</v>
      </c>
      <c r="AI71">
        <v>0.111875</v>
      </c>
      <c r="AJ71">
        <v>0.100911</v>
      </c>
      <c r="AK71">
        <v>0.10190200000000001</v>
      </c>
      <c r="AL71">
        <v>0.110085</v>
      </c>
      <c r="AM71">
        <v>0.107887</v>
      </c>
      <c r="AN71">
        <v>0.1</v>
      </c>
      <c r="AO71">
        <v>0.11101999999999999</v>
      </c>
      <c r="AP71">
        <v>9.9825999999999998E-2</v>
      </c>
      <c r="AQ71">
        <v>8.8234999999999994E-2</v>
      </c>
      <c r="AR71">
        <v>0.10253900000000001</v>
      </c>
      <c r="AS71">
        <v>9.0624999999999997E-2</v>
      </c>
      <c r="AT71">
        <v>0.11607099999999999</v>
      </c>
      <c r="AU71">
        <v>0.11418300000000001</v>
      </c>
      <c r="AV71">
        <v>0.119792</v>
      </c>
      <c r="AW71">
        <v>0.110795</v>
      </c>
      <c r="AX71">
        <v>0.104688</v>
      </c>
      <c r="AY71">
        <v>8.8541999999999996E-2</v>
      </c>
      <c r="AZ71">
        <v>9.9609000000000003E-2</v>
      </c>
      <c r="BA71">
        <v>0.12723200000000001</v>
      </c>
      <c r="BB71">
        <v>0.119792</v>
      </c>
      <c r="BC71">
        <v>0.11874999999999999</v>
      </c>
      <c r="BD71">
        <v>0.13281200000000001</v>
      </c>
      <c r="BE71">
        <v>0.13541700000000001</v>
      </c>
      <c r="BF71">
        <v>0.101562</v>
      </c>
      <c r="BG71">
        <v>0.109375</v>
      </c>
    </row>
    <row r="72" spans="3:59" x14ac:dyDescent="0.3">
      <c r="C72" s="15"/>
      <c r="D72" s="14"/>
      <c r="E72" s="4"/>
      <c r="F72" s="3"/>
      <c r="G72" s="14"/>
      <c r="I72" s="51">
        <v>39.937999999999988</v>
      </c>
      <c r="J72" s="34">
        <v>2055</v>
      </c>
      <c r="K72" s="34">
        <v>1677</v>
      </c>
      <c r="L72" s="35">
        <v>1590</v>
      </c>
      <c r="M72" s="34">
        <f t="shared" si="9"/>
        <v>0.22540250447227192</v>
      </c>
      <c r="N72" s="67">
        <f t="shared" si="10"/>
        <v>0.22540250447227192</v>
      </c>
      <c r="O72" s="67">
        <f t="shared" si="11"/>
        <v>0.29245283018867924</v>
      </c>
      <c r="S72">
        <f>SUM(S63:S69)</f>
        <v>1.0000000000000002</v>
      </c>
      <c r="T72">
        <f>SUM(T63:T69)</f>
        <v>1.0000000000000002</v>
      </c>
      <c r="U72">
        <f>SUM(U63:U70)</f>
        <v>1</v>
      </c>
      <c r="AI72">
        <v>0.12</v>
      </c>
      <c r="AJ72">
        <v>0.115885</v>
      </c>
      <c r="AK72">
        <v>0.136549</v>
      </c>
      <c r="AL72">
        <v>0.14346600000000001</v>
      </c>
      <c r="AM72">
        <v>0.12797600000000001</v>
      </c>
      <c r="AN72">
        <v>0.129688</v>
      </c>
      <c r="AO72">
        <v>0.12993399999999999</v>
      </c>
      <c r="AP72">
        <v>0.13888900000000001</v>
      </c>
      <c r="AQ72">
        <v>0.13602900000000001</v>
      </c>
      <c r="AR72">
        <v>0.12597700000000001</v>
      </c>
      <c r="AS72">
        <v>0.13541700000000001</v>
      </c>
      <c r="AT72">
        <v>0.121652</v>
      </c>
      <c r="AU72">
        <v>0.12980800000000001</v>
      </c>
      <c r="AV72">
        <v>0.12890599999999999</v>
      </c>
      <c r="AW72">
        <v>0.13494300000000001</v>
      </c>
      <c r="AX72">
        <v>0.13906299999999999</v>
      </c>
      <c r="AY72">
        <v>0.152778</v>
      </c>
      <c r="AZ72">
        <v>0.140625</v>
      </c>
      <c r="BA72">
        <v>0.13392899999999999</v>
      </c>
      <c r="BB72">
        <v>0.16406200000000001</v>
      </c>
      <c r="BC72">
        <v>0.109375</v>
      </c>
      <c r="BD72">
        <v>9.7656000000000007E-2</v>
      </c>
      <c r="BE72">
        <v>9.8958000000000004E-2</v>
      </c>
      <c r="BF72">
        <v>0.109375</v>
      </c>
      <c r="BG72">
        <v>7.8125E-2</v>
      </c>
    </row>
    <row r="73" spans="3:59" x14ac:dyDescent="0.3">
      <c r="C73" s="15"/>
      <c r="D73" s="14"/>
      <c r="E73" s="4"/>
      <c r="F73" s="3"/>
      <c r="G73" s="14"/>
      <c r="I73" s="51">
        <v>39.5</v>
      </c>
      <c r="J73" s="46">
        <v>1983</v>
      </c>
      <c r="K73" s="34">
        <v>1669</v>
      </c>
      <c r="L73" s="35">
        <v>1604</v>
      </c>
      <c r="M73" s="34">
        <f t="shared" si="9"/>
        <v>0.18813660874775315</v>
      </c>
      <c r="N73" s="67">
        <f t="shared" si="10"/>
        <v>0.18813660874775315</v>
      </c>
      <c r="O73" s="67">
        <f t="shared" si="11"/>
        <v>0.23628428927680797</v>
      </c>
      <c r="AI73">
        <v>0.113125</v>
      </c>
      <c r="AJ73">
        <v>0.107422</v>
      </c>
      <c r="AK73">
        <v>9.9863999999999994E-2</v>
      </c>
      <c r="AL73">
        <v>0.10298300000000001</v>
      </c>
      <c r="AM73">
        <v>0.11607099999999999</v>
      </c>
      <c r="AN73">
        <v>0.103906</v>
      </c>
      <c r="AO73">
        <v>0.115132</v>
      </c>
      <c r="AP73">
        <v>0.107639</v>
      </c>
      <c r="AQ73">
        <v>0.10753699999999999</v>
      </c>
      <c r="AR73">
        <v>9.1797000000000004E-2</v>
      </c>
      <c r="AS73">
        <v>0.12604199999999999</v>
      </c>
      <c r="AT73">
        <v>0.129464</v>
      </c>
      <c r="AU73">
        <v>0.10456699999999999</v>
      </c>
      <c r="AV73">
        <v>0.108073</v>
      </c>
      <c r="AW73">
        <v>0.105114</v>
      </c>
      <c r="AX73">
        <v>0.1125</v>
      </c>
      <c r="AY73">
        <v>0.137153</v>
      </c>
      <c r="AZ73">
        <v>0.103516</v>
      </c>
      <c r="BA73">
        <v>0.11607099999999999</v>
      </c>
      <c r="BB73">
        <v>0.114583</v>
      </c>
      <c r="BC73">
        <v>9.375E-2</v>
      </c>
      <c r="BD73">
        <v>0.109375</v>
      </c>
      <c r="BE73">
        <v>0.125</v>
      </c>
      <c r="BF73">
        <v>0.117188</v>
      </c>
      <c r="BG73">
        <v>9.375E-2</v>
      </c>
    </row>
    <row r="74" spans="3:59" x14ac:dyDescent="0.3">
      <c r="C74" s="15"/>
      <c r="D74" s="14"/>
      <c r="E74" s="4"/>
      <c r="F74" s="3"/>
      <c r="G74" s="14"/>
      <c r="I74" s="51">
        <v>42.343999999999994</v>
      </c>
      <c r="J74" s="34">
        <v>1800</v>
      </c>
      <c r="K74" s="34">
        <v>1572</v>
      </c>
      <c r="L74" s="35">
        <v>1512</v>
      </c>
      <c r="M74" s="34">
        <f t="shared" si="9"/>
        <v>0.14503816793893129</v>
      </c>
      <c r="N74" s="67">
        <f t="shared" si="10"/>
        <v>0.14503816793893129</v>
      </c>
      <c r="O74" s="67">
        <f t="shared" si="11"/>
        <v>0.19047619047619047</v>
      </c>
      <c r="AI74">
        <v>0.13625000000000001</v>
      </c>
      <c r="AJ74">
        <v>0.123698</v>
      </c>
      <c r="AK74">
        <v>0.124321</v>
      </c>
      <c r="AL74">
        <v>0.129972</v>
      </c>
      <c r="AM74">
        <v>0.13169600000000001</v>
      </c>
      <c r="AN74">
        <v>0.12343800000000001</v>
      </c>
      <c r="AO74">
        <v>0.125</v>
      </c>
      <c r="AP74">
        <v>0.117188</v>
      </c>
      <c r="AQ74">
        <v>0.14246300000000001</v>
      </c>
      <c r="AR74">
        <v>0.11035200000000001</v>
      </c>
      <c r="AS74">
        <v>0.121875</v>
      </c>
      <c r="AT74">
        <v>0.13281200000000001</v>
      </c>
      <c r="AU74">
        <v>0.12980800000000001</v>
      </c>
      <c r="AV74">
        <v>0.123698</v>
      </c>
      <c r="AW74">
        <v>0.13636400000000001</v>
      </c>
      <c r="AX74">
        <v>0.13125000000000001</v>
      </c>
      <c r="AY74">
        <v>0.13888900000000001</v>
      </c>
      <c r="AZ74">
        <v>0.117188</v>
      </c>
      <c r="BA74">
        <v>0.129464</v>
      </c>
      <c r="BB74">
        <v>0.13541700000000001</v>
      </c>
      <c r="BC74">
        <v>0.16875000000000001</v>
      </c>
      <c r="BD74">
        <v>0.16406200000000001</v>
      </c>
      <c r="BE74">
        <v>0.13020799999999999</v>
      </c>
      <c r="BF74">
        <v>0.125</v>
      </c>
      <c r="BG74">
        <v>4.6875E-2</v>
      </c>
    </row>
    <row r="75" spans="3:59" x14ac:dyDescent="0.3">
      <c r="C75" s="15"/>
      <c r="D75" s="14"/>
      <c r="E75" s="4"/>
      <c r="F75" s="3"/>
      <c r="G75" s="14"/>
      <c r="I75" s="51">
        <v>36.625</v>
      </c>
      <c r="J75" s="34">
        <v>2020</v>
      </c>
      <c r="K75" s="34">
        <v>1662</v>
      </c>
      <c r="L75" s="35">
        <v>1601</v>
      </c>
      <c r="M75" s="34">
        <f t="shared" si="9"/>
        <v>0.21540312876052947</v>
      </c>
      <c r="N75" s="67">
        <f t="shared" si="10"/>
        <v>0.21540312876052947</v>
      </c>
      <c r="O75" s="67">
        <f t="shared" si="11"/>
        <v>0.26171143035602751</v>
      </c>
      <c r="AI75">
        <v>0.12625</v>
      </c>
      <c r="AJ75">
        <v>0.13150999999999999</v>
      </c>
      <c r="AK75">
        <v>0.127717</v>
      </c>
      <c r="AL75">
        <v>0.11576699999999999</v>
      </c>
      <c r="AM75">
        <v>0.120536</v>
      </c>
      <c r="AN75">
        <v>0.122656</v>
      </c>
      <c r="AO75">
        <v>0.129112</v>
      </c>
      <c r="AP75">
        <v>0.121528</v>
      </c>
      <c r="AQ75">
        <v>0.112132</v>
      </c>
      <c r="AR75">
        <v>0.125</v>
      </c>
      <c r="AS75">
        <v>0.12604199999999999</v>
      </c>
      <c r="AT75">
        <v>0.122768</v>
      </c>
      <c r="AU75">
        <v>0.11899</v>
      </c>
      <c r="AV75">
        <v>0.13020799999999999</v>
      </c>
      <c r="AW75">
        <v>0.13778399999999999</v>
      </c>
      <c r="AX75">
        <v>0.12656200000000001</v>
      </c>
      <c r="AY75">
        <v>0.128472</v>
      </c>
      <c r="AZ75">
        <v>0.134766</v>
      </c>
      <c r="BA75">
        <v>0.125</v>
      </c>
      <c r="BB75">
        <v>0.117188</v>
      </c>
      <c r="BC75">
        <v>0.13125000000000001</v>
      </c>
      <c r="BD75">
        <v>0.109375</v>
      </c>
      <c r="BE75">
        <v>0.140625</v>
      </c>
      <c r="BF75">
        <v>0.14843799999999999</v>
      </c>
      <c r="BG75">
        <v>3.125E-2</v>
      </c>
    </row>
    <row r="76" spans="3:59" x14ac:dyDescent="0.3">
      <c r="C76" s="15"/>
      <c r="D76" s="14"/>
      <c r="E76" s="4"/>
      <c r="F76" s="3"/>
      <c r="G76" s="14"/>
      <c r="I76" s="51">
        <v>30.625</v>
      </c>
      <c r="J76" s="34">
        <v>1891</v>
      </c>
      <c r="K76" s="34">
        <v>1661</v>
      </c>
      <c r="L76" s="35">
        <v>1613</v>
      </c>
      <c r="M76" s="34">
        <f t="shared" si="9"/>
        <v>0.13847080072245635</v>
      </c>
      <c r="N76" s="67">
        <f t="shared" si="10"/>
        <v>0.13847080072245635</v>
      </c>
      <c r="O76" s="67">
        <f t="shared" si="11"/>
        <v>0.17234965902045876</v>
      </c>
      <c r="AI76">
        <v>0.115</v>
      </c>
      <c r="AJ76">
        <v>0.117188</v>
      </c>
      <c r="AK76">
        <v>0.11820700000000001</v>
      </c>
      <c r="AL76">
        <v>0.12642</v>
      </c>
      <c r="AM76">
        <v>0.12128</v>
      </c>
      <c r="AN76">
        <v>0.12812499999999999</v>
      </c>
      <c r="AO76">
        <v>0.12993399999999999</v>
      </c>
      <c r="AP76">
        <v>0.131076</v>
      </c>
      <c r="AQ76">
        <v>0.14613999999999999</v>
      </c>
      <c r="AR76">
        <v>0.117188</v>
      </c>
      <c r="AS76">
        <v>0.13125000000000001</v>
      </c>
      <c r="AT76">
        <v>0.14174100000000001</v>
      </c>
      <c r="AU76">
        <v>0.13822100000000001</v>
      </c>
      <c r="AV76">
        <v>0.13541700000000001</v>
      </c>
      <c r="AW76">
        <v>0.142045</v>
      </c>
      <c r="AX76">
        <v>9.8436999999999997E-2</v>
      </c>
      <c r="AY76">
        <v>0.114583</v>
      </c>
      <c r="AZ76">
        <v>9.9609000000000003E-2</v>
      </c>
      <c r="BA76">
        <v>0.113839</v>
      </c>
      <c r="BB76">
        <v>9.8958000000000004E-2</v>
      </c>
      <c r="BC76">
        <v>8.4375000000000006E-2</v>
      </c>
      <c r="BD76">
        <v>0.101562</v>
      </c>
      <c r="BE76">
        <v>0.109375</v>
      </c>
      <c r="BF76">
        <v>9.375E-2</v>
      </c>
      <c r="BG76">
        <v>4.6875E-2</v>
      </c>
    </row>
    <row r="77" spans="3:59" x14ac:dyDescent="0.3">
      <c r="C77" s="15"/>
      <c r="D77" s="14"/>
      <c r="E77" s="4"/>
      <c r="F77" s="3"/>
      <c r="G77" s="14"/>
      <c r="I77" s="51">
        <v>29.139999999999986</v>
      </c>
      <c r="J77" s="34">
        <v>1963</v>
      </c>
      <c r="K77" s="34">
        <v>1719</v>
      </c>
      <c r="L77" s="35">
        <v>1718</v>
      </c>
      <c r="M77" s="34">
        <f t="shared" si="9"/>
        <v>0.14194299011052938</v>
      </c>
      <c r="N77" s="67">
        <f t="shared" si="10"/>
        <v>0.14194299011052938</v>
      </c>
      <c r="O77" s="67">
        <f t="shared" si="11"/>
        <v>0.14260768335273574</v>
      </c>
      <c r="AI77">
        <v>0.10312499999999999</v>
      </c>
      <c r="AJ77">
        <v>0.103516</v>
      </c>
      <c r="AK77">
        <v>0.110054</v>
      </c>
      <c r="AL77">
        <v>0.12358</v>
      </c>
      <c r="AM77">
        <v>0.119048</v>
      </c>
      <c r="AN77">
        <v>0.10625</v>
      </c>
      <c r="AO77">
        <v>0.106086</v>
      </c>
      <c r="AP77">
        <v>0.121528</v>
      </c>
      <c r="AQ77">
        <v>0.115809</v>
      </c>
      <c r="AR77">
        <v>0.12792999999999999</v>
      </c>
      <c r="AS77">
        <v>0.122917</v>
      </c>
      <c r="AT77">
        <v>0.11830400000000001</v>
      </c>
      <c r="AU77">
        <v>0.12740399999999999</v>
      </c>
      <c r="AV77">
        <v>0.13541700000000001</v>
      </c>
      <c r="AW77">
        <v>0.102273</v>
      </c>
      <c r="AX77">
        <v>0.121875</v>
      </c>
      <c r="AY77">
        <v>0.13020799999999999</v>
      </c>
      <c r="AZ77">
        <v>0.12109399999999999</v>
      </c>
      <c r="BA77">
        <v>0.140625</v>
      </c>
      <c r="BB77">
        <v>0.125</v>
      </c>
      <c r="BC77">
        <v>0.11562500000000001</v>
      </c>
      <c r="BD77">
        <v>0.12109399999999999</v>
      </c>
      <c r="BE77">
        <v>9.8958000000000004E-2</v>
      </c>
      <c r="BF77">
        <v>0.14843799999999999</v>
      </c>
      <c r="BG77">
        <v>0.109375</v>
      </c>
    </row>
    <row r="78" spans="3:59" x14ac:dyDescent="0.3">
      <c r="C78" s="15"/>
      <c r="D78" s="14"/>
      <c r="E78" s="4"/>
      <c r="F78" s="3"/>
      <c r="G78" s="14"/>
      <c r="I78" s="51">
        <v>29.062999999999988</v>
      </c>
      <c r="J78" s="34">
        <v>1845</v>
      </c>
      <c r="K78" s="34">
        <v>1573</v>
      </c>
      <c r="L78" s="35">
        <v>1565</v>
      </c>
      <c r="M78" s="34">
        <f t="shared" si="9"/>
        <v>0.17291799109980929</v>
      </c>
      <c r="N78" s="67">
        <f t="shared" si="10"/>
        <v>0.17291799109980929</v>
      </c>
      <c r="O78" s="67">
        <f t="shared" si="11"/>
        <v>0.17891373801916932</v>
      </c>
      <c r="AI78">
        <v>0.1225</v>
      </c>
      <c r="AJ78">
        <v>0.12825500000000001</v>
      </c>
      <c r="AK78">
        <v>0.123641</v>
      </c>
      <c r="AL78">
        <v>0.14275599999999999</v>
      </c>
      <c r="AM78">
        <v>0.13392899999999999</v>
      </c>
      <c r="AN78">
        <v>0.141406</v>
      </c>
      <c r="AO78">
        <v>0.13980300000000001</v>
      </c>
      <c r="AP78">
        <v>0.127604</v>
      </c>
      <c r="AQ78">
        <v>0.13786799999999999</v>
      </c>
      <c r="AR78">
        <v>0.11328100000000001</v>
      </c>
      <c r="AS78">
        <v>0.13125000000000001</v>
      </c>
      <c r="AT78">
        <v>0.136161</v>
      </c>
      <c r="AU78">
        <v>0.11057699999999999</v>
      </c>
      <c r="AV78">
        <v>0.123698</v>
      </c>
      <c r="AW78">
        <v>0.13494300000000001</v>
      </c>
      <c r="AX78">
        <v>0.117188</v>
      </c>
      <c r="AY78">
        <v>0.121528</v>
      </c>
      <c r="AZ78">
        <v>0.109375</v>
      </c>
      <c r="BA78">
        <v>0.11607099999999999</v>
      </c>
      <c r="BB78">
        <v>0.158854</v>
      </c>
      <c r="BC78">
        <v>0.121875</v>
      </c>
      <c r="BD78">
        <v>0.117188</v>
      </c>
      <c r="BE78">
        <v>0.13020799999999999</v>
      </c>
      <c r="BF78">
        <v>0.117188</v>
      </c>
      <c r="BG78">
        <v>0.1875</v>
      </c>
    </row>
    <row r="79" spans="3:59" x14ac:dyDescent="0.3">
      <c r="C79" s="15"/>
      <c r="D79" s="14"/>
      <c r="E79" s="4"/>
      <c r="F79" s="3"/>
      <c r="G79" s="14"/>
      <c r="I79" s="51">
        <v>31.953000000000088</v>
      </c>
      <c r="J79" s="34">
        <v>2068</v>
      </c>
      <c r="K79" s="34">
        <v>1692</v>
      </c>
      <c r="L79" s="35">
        <v>1631</v>
      </c>
      <c r="M79" s="34">
        <f t="shared" si="9"/>
        <v>0.22222222222222221</v>
      </c>
      <c r="N79" s="67">
        <f t="shared" ref="N79:N91" si="23">(J79-K79)/K79</f>
        <v>0.22222222222222221</v>
      </c>
      <c r="O79" s="67">
        <f t="shared" ref="O79:O91" si="24">(J79-L79)/L79</f>
        <v>0.26793378295524217</v>
      </c>
      <c r="AI79">
        <v>0.15</v>
      </c>
      <c r="AJ79">
        <v>0.133464</v>
      </c>
      <c r="AK79">
        <v>0.137908</v>
      </c>
      <c r="AL79">
        <v>0.125</v>
      </c>
      <c r="AM79">
        <v>0.13764899999999999</v>
      </c>
      <c r="AN79">
        <v>0.140625</v>
      </c>
      <c r="AO79">
        <v>0.15789500000000001</v>
      </c>
      <c r="AP79">
        <v>0.15798599999999999</v>
      </c>
      <c r="AQ79">
        <v>0.15992600000000001</v>
      </c>
      <c r="AR79">
        <v>0.166016</v>
      </c>
      <c r="AS79">
        <v>0.158333</v>
      </c>
      <c r="AT79">
        <v>0.17522299999999999</v>
      </c>
      <c r="AU79">
        <v>0.15384600000000001</v>
      </c>
      <c r="AV79">
        <v>0.16145799999999999</v>
      </c>
      <c r="AW79">
        <v>0.14346600000000001</v>
      </c>
      <c r="AX79">
        <v>0.171875</v>
      </c>
      <c r="AY79">
        <v>0.16319400000000001</v>
      </c>
      <c r="AZ79">
        <v>0.171875</v>
      </c>
      <c r="BA79">
        <v>0.15848200000000001</v>
      </c>
      <c r="BB79">
        <v>0.171875</v>
      </c>
      <c r="BC79">
        <v>0.15937499999999999</v>
      </c>
      <c r="BD79">
        <v>0.15625</v>
      </c>
      <c r="BE79">
        <v>0.16145799999999999</v>
      </c>
      <c r="BF79">
        <v>0.16406200000000001</v>
      </c>
      <c r="BG79">
        <v>3.125E-2</v>
      </c>
    </row>
    <row r="80" spans="3:59" x14ac:dyDescent="0.3">
      <c r="C80" s="15"/>
      <c r="D80" s="14"/>
      <c r="E80" s="4"/>
      <c r="F80" s="3"/>
      <c r="G80" s="14"/>
      <c r="I80" s="51">
        <v>30.061999999999898</v>
      </c>
      <c r="J80" s="34">
        <v>2023</v>
      </c>
      <c r="K80" s="34">
        <v>1654</v>
      </c>
      <c r="L80" s="35">
        <v>1652</v>
      </c>
      <c r="M80" s="34">
        <f t="shared" si="9"/>
        <v>0.22309552599758162</v>
      </c>
      <c r="N80" s="67">
        <f t="shared" si="23"/>
        <v>0.22309552599758162</v>
      </c>
      <c r="O80" s="67">
        <f t="shared" si="24"/>
        <v>0.22457627118644069</v>
      </c>
      <c r="AI80">
        <v>0.16062499999999999</v>
      </c>
      <c r="AJ80">
        <v>0.14583299999999999</v>
      </c>
      <c r="AK80">
        <v>0.13451099999999999</v>
      </c>
      <c r="AL80">
        <v>0.12358</v>
      </c>
      <c r="AM80">
        <v>0.13988100000000001</v>
      </c>
      <c r="AN80">
        <v>0.125781</v>
      </c>
      <c r="AO80">
        <v>0.120888</v>
      </c>
      <c r="AP80">
        <v>0.11631900000000001</v>
      </c>
      <c r="AQ80">
        <v>0.12775700000000001</v>
      </c>
      <c r="AR80">
        <v>0.14941399999999999</v>
      </c>
      <c r="AS80">
        <v>0.12604199999999999</v>
      </c>
      <c r="AT80">
        <v>0.12611600000000001</v>
      </c>
      <c r="AU80">
        <v>0.13100999999999999</v>
      </c>
      <c r="AV80">
        <v>0.140625</v>
      </c>
      <c r="AW80">
        <v>0.13636400000000001</v>
      </c>
      <c r="AX80">
        <v>0.14374999999999999</v>
      </c>
      <c r="AY80">
        <v>0.15798599999999999</v>
      </c>
      <c r="AZ80">
        <v>0.15429699999999999</v>
      </c>
      <c r="BA80">
        <v>0.14955399999999999</v>
      </c>
      <c r="BB80">
        <v>0.13281200000000001</v>
      </c>
      <c r="BC80">
        <v>0.14374999999999999</v>
      </c>
      <c r="BD80">
        <v>0.12890599999999999</v>
      </c>
      <c r="BE80">
        <v>0.15104200000000001</v>
      </c>
      <c r="BF80">
        <v>0.140625</v>
      </c>
      <c r="BG80">
        <v>0.109375</v>
      </c>
    </row>
    <row r="81" spans="1:59" x14ac:dyDescent="0.3">
      <c r="C81" s="15"/>
      <c r="D81" s="14"/>
      <c r="E81" s="4"/>
      <c r="F81" s="3"/>
      <c r="G81" s="14"/>
      <c r="I81" s="51">
        <v>43.657000000000039</v>
      </c>
      <c r="J81" s="34">
        <v>1907</v>
      </c>
      <c r="K81" s="34">
        <v>1626</v>
      </c>
      <c r="L81" s="35">
        <v>1603</v>
      </c>
      <c r="M81" s="34">
        <f t="shared" si="9"/>
        <v>0.17281672816728166</v>
      </c>
      <c r="N81" s="67">
        <f t="shared" si="23"/>
        <v>0.17281672816728166</v>
      </c>
      <c r="O81" s="67">
        <f t="shared" si="24"/>
        <v>0.18964441671865254</v>
      </c>
      <c r="AI81">
        <v>0.139375</v>
      </c>
      <c r="AJ81">
        <v>0.14257800000000001</v>
      </c>
      <c r="AK81">
        <v>0.14877699999999999</v>
      </c>
      <c r="AL81">
        <v>0.14133499999999999</v>
      </c>
      <c r="AM81">
        <v>0.145089</v>
      </c>
      <c r="AN81">
        <v>0.155469</v>
      </c>
      <c r="AO81">
        <v>0.12582199999999999</v>
      </c>
      <c r="AP81">
        <v>0.14496500000000001</v>
      </c>
      <c r="AQ81">
        <v>0.13786799999999999</v>
      </c>
      <c r="AR81">
        <v>0.12695300000000001</v>
      </c>
      <c r="AS81">
        <v>0.11770799999999999</v>
      </c>
      <c r="AT81">
        <v>0.13281200000000001</v>
      </c>
      <c r="AU81">
        <v>0.12740399999999999</v>
      </c>
      <c r="AV81">
        <v>0.14974000000000001</v>
      </c>
      <c r="AW81">
        <v>0.132102</v>
      </c>
      <c r="AX81">
        <v>0.13281200000000001</v>
      </c>
      <c r="AY81">
        <v>0.15104200000000001</v>
      </c>
      <c r="AZ81">
        <v>0.15820300000000001</v>
      </c>
      <c r="BA81">
        <v>0.14732100000000001</v>
      </c>
      <c r="BB81">
        <v>0.138021</v>
      </c>
      <c r="BC81">
        <v>0.15</v>
      </c>
      <c r="BD81">
        <v>0.12109399999999999</v>
      </c>
      <c r="BE81">
        <v>0.13541700000000001</v>
      </c>
      <c r="BF81">
        <v>0.109375</v>
      </c>
      <c r="BG81">
        <v>0.125</v>
      </c>
    </row>
    <row r="82" spans="1:59" x14ac:dyDescent="0.3">
      <c r="C82" s="15"/>
      <c r="D82" s="14"/>
      <c r="E82" s="4"/>
      <c r="F82" s="3"/>
      <c r="G82" s="14"/>
      <c r="I82" s="51">
        <v>30.164999999999999</v>
      </c>
      <c r="J82" s="34">
        <v>1994</v>
      </c>
      <c r="K82" s="34">
        <v>1677</v>
      </c>
      <c r="L82" s="35">
        <v>1677</v>
      </c>
      <c r="M82" s="34">
        <f t="shared" si="9"/>
        <v>0.18902802623732856</v>
      </c>
      <c r="N82" s="67">
        <f t="shared" si="23"/>
        <v>0.18902802623732856</v>
      </c>
      <c r="O82" s="67">
        <f t="shared" si="24"/>
        <v>0.18902802623732856</v>
      </c>
      <c r="AI82">
        <v>0.14000000000000001</v>
      </c>
      <c r="AJ82">
        <v>0.115885</v>
      </c>
      <c r="AK82">
        <v>0.12567900000000001</v>
      </c>
      <c r="AL82">
        <v>0.116477</v>
      </c>
      <c r="AM82">
        <v>9.5238000000000003E-2</v>
      </c>
      <c r="AN82">
        <v>0.114844</v>
      </c>
      <c r="AO82">
        <v>0.108553</v>
      </c>
      <c r="AP82">
        <v>9.9825999999999998E-2</v>
      </c>
      <c r="AQ82">
        <v>0.117647</v>
      </c>
      <c r="AR82">
        <v>0.13671900000000001</v>
      </c>
      <c r="AS82">
        <v>0.109375</v>
      </c>
      <c r="AT82">
        <v>0.11942</v>
      </c>
      <c r="AU82">
        <v>0.103365</v>
      </c>
      <c r="AV82">
        <v>0.11328100000000001</v>
      </c>
      <c r="AW82">
        <v>0.10369299999999999</v>
      </c>
      <c r="AX82">
        <v>0.114062</v>
      </c>
      <c r="AY82">
        <v>0.11631900000000001</v>
      </c>
      <c r="AZ82">
        <v>0.115234</v>
      </c>
      <c r="BA82">
        <v>8.9286000000000004E-2</v>
      </c>
      <c r="BB82">
        <v>0.106771</v>
      </c>
      <c r="BC82">
        <v>0.10312499999999999</v>
      </c>
      <c r="BD82">
        <v>0.117188</v>
      </c>
      <c r="BE82">
        <v>0.104167</v>
      </c>
      <c r="BF82">
        <v>0.140625</v>
      </c>
      <c r="BG82">
        <v>3.125E-2</v>
      </c>
    </row>
    <row r="83" spans="1:59" x14ac:dyDescent="0.3">
      <c r="C83" s="15"/>
      <c r="D83" s="14"/>
      <c r="E83" s="4"/>
      <c r="F83" s="3"/>
      <c r="G83" s="14"/>
      <c r="I83" s="51">
        <v>44.584000000000003</v>
      </c>
      <c r="J83" s="34">
        <v>2044</v>
      </c>
      <c r="K83" s="34">
        <v>1672</v>
      </c>
      <c r="L83" s="35">
        <v>1626</v>
      </c>
      <c r="M83" s="34">
        <f t="shared" si="9"/>
        <v>0.22248803827751196</v>
      </c>
      <c r="N83" s="67">
        <f t="shared" si="23"/>
        <v>0.22248803827751196</v>
      </c>
      <c r="O83" s="67">
        <f t="shared" si="24"/>
        <v>0.25707257072570727</v>
      </c>
      <c r="AI83">
        <v>0.11125</v>
      </c>
      <c r="AJ83">
        <v>0.110677</v>
      </c>
      <c r="AK83">
        <v>0.13858699999999999</v>
      </c>
      <c r="AL83">
        <v>0.176847</v>
      </c>
      <c r="AM83">
        <v>0.15699399999999999</v>
      </c>
      <c r="AN83">
        <v>0.14374999999999999</v>
      </c>
      <c r="AO83">
        <v>0.13075700000000001</v>
      </c>
      <c r="AP83">
        <v>0.131076</v>
      </c>
      <c r="AQ83">
        <v>0.12775700000000001</v>
      </c>
      <c r="AR83">
        <v>0.12402299999999999</v>
      </c>
      <c r="AS83">
        <v>0.120833</v>
      </c>
      <c r="AT83">
        <v>0.13727700000000001</v>
      </c>
      <c r="AU83">
        <v>0.111779</v>
      </c>
      <c r="AV83">
        <v>0.106771</v>
      </c>
      <c r="AW83">
        <v>0.12642</v>
      </c>
      <c r="AX83">
        <v>0.125</v>
      </c>
      <c r="AY83">
        <v>0.13020799999999999</v>
      </c>
      <c r="AZ83">
        <v>0.13867199999999999</v>
      </c>
      <c r="BA83">
        <v>0.15401799999999999</v>
      </c>
      <c r="BB83">
        <v>0.13541700000000001</v>
      </c>
      <c r="BC83">
        <v>0.11562500000000001</v>
      </c>
      <c r="BD83">
        <v>0.17578099999999999</v>
      </c>
      <c r="BE83">
        <v>0.13541700000000001</v>
      </c>
      <c r="BF83">
        <v>0.109375</v>
      </c>
      <c r="BG83">
        <v>3.125E-2</v>
      </c>
    </row>
    <row r="84" spans="1:59" x14ac:dyDescent="0.3">
      <c r="C84" s="15"/>
      <c r="D84" s="14"/>
      <c r="E84" s="4"/>
      <c r="F84" s="3"/>
      <c r="G84" s="14"/>
      <c r="I84" s="51">
        <v>51.253999999999998</v>
      </c>
      <c r="J84" s="34">
        <v>1991</v>
      </c>
      <c r="K84" s="34">
        <v>1737</v>
      </c>
      <c r="L84" s="35">
        <v>1699</v>
      </c>
      <c r="M84" s="34">
        <f t="shared" si="9"/>
        <v>0.14622913068508925</v>
      </c>
      <c r="N84" s="67">
        <f t="shared" si="23"/>
        <v>0.14622913068508925</v>
      </c>
      <c r="O84" s="67">
        <f t="shared" si="24"/>
        <v>0.17186580341377281</v>
      </c>
      <c r="AI84">
        <v>0.121875</v>
      </c>
      <c r="AJ84">
        <v>0.123047</v>
      </c>
      <c r="AK84">
        <v>0.14538000000000001</v>
      </c>
      <c r="AL84">
        <v>0.14133499999999999</v>
      </c>
      <c r="AM84">
        <v>0.12723200000000001</v>
      </c>
      <c r="AN84">
        <v>0.116406</v>
      </c>
      <c r="AO84">
        <v>0.13240099999999999</v>
      </c>
      <c r="AP84">
        <v>0.112847</v>
      </c>
      <c r="AQ84">
        <v>0.120404</v>
      </c>
      <c r="AR84">
        <v>0.112305</v>
      </c>
      <c r="AS84">
        <v>0.113542</v>
      </c>
      <c r="AT84">
        <v>0.112723</v>
      </c>
      <c r="AU84">
        <v>0.121394</v>
      </c>
      <c r="AV84">
        <v>0.13281200000000001</v>
      </c>
      <c r="AW84">
        <v>0.125</v>
      </c>
      <c r="AX84">
        <v>0.13281200000000001</v>
      </c>
      <c r="AY84">
        <v>0.16145799999999999</v>
      </c>
      <c r="AZ84">
        <v>0.15625</v>
      </c>
      <c r="BA84">
        <v>0.145089</v>
      </c>
      <c r="BB84">
        <v>0.153646</v>
      </c>
      <c r="BC84">
        <v>0.15312500000000001</v>
      </c>
      <c r="BD84">
        <v>0.140625</v>
      </c>
      <c r="BE84">
        <v>0.140625</v>
      </c>
      <c r="BF84">
        <v>0.140625</v>
      </c>
      <c r="BG84">
        <v>0.109375</v>
      </c>
    </row>
    <row r="85" spans="1:59" x14ac:dyDescent="0.3">
      <c r="C85" s="15"/>
      <c r="D85" s="14"/>
      <c r="E85" s="4"/>
      <c r="F85" s="3"/>
      <c r="G85" s="14"/>
      <c r="I85" s="51">
        <v>22.84</v>
      </c>
      <c r="J85" s="34">
        <v>1924</v>
      </c>
      <c r="K85" s="34">
        <v>1644</v>
      </c>
      <c r="L85" s="35">
        <v>1542</v>
      </c>
      <c r="M85" s="34">
        <f t="shared" si="9"/>
        <v>0.170316301703163</v>
      </c>
      <c r="N85" s="67">
        <f t="shared" si="23"/>
        <v>0.170316301703163</v>
      </c>
      <c r="O85" s="67">
        <f t="shared" si="24"/>
        <v>0.24773022049286642</v>
      </c>
      <c r="AI85">
        <v>0.11812499999999999</v>
      </c>
      <c r="AJ85">
        <v>0.13671900000000001</v>
      </c>
      <c r="AK85">
        <v>0.12975500000000001</v>
      </c>
      <c r="AL85">
        <v>0.133523</v>
      </c>
      <c r="AM85">
        <v>0.129464</v>
      </c>
      <c r="AN85">
        <v>0.13750000000000001</v>
      </c>
      <c r="AO85">
        <v>0.14391399999999999</v>
      </c>
      <c r="AP85">
        <v>0.13541700000000001</v>
      </c>
      <c r="AQ85">
        <v>0.132353</v>
      </c>
      <c r="AR85">
        <v>0.134766</v>
      </c>
      <c r="AS85">
        <v>0.14166699999999999</v>
      </c>
      <c r="AT85">
        <v>0.16517899999999999</v>
      </c>
      <c r="AU85">
        <v>0.13581699999999999</v>
      </c>
      <c r="AV85">
        <v>0.127604</v>
      </c>
      <c r="AW85">
        <v>0.12642</v>
      </c>
      <c r="AX85">
        <v>0.13281200000000001</v>
      </c>
      <c r="AY85">
        <v>0.159722</v>
      </c>
      <c r="AZ85">
        <v>0.134766</v>
      </c>
      <c r="BA85">
        <v>0.12723200000000001</v>
      </c>
      <c r="BB85">
        <v>0.122396</v>
      </c>
      <c r="BC85">
        <v>0.140625</v>
      </c>
      <c r="BD85">
        <v>0.16015599999999999</v>
      </c>
      <c r="BE85">
        <v>0.14583299999999999</v>
      </c>
      <c r="BF85">
        <v>0.171875</v>
      </c>
      <c r="BG85">
        <v>9.375E-2</v>
      </c>
    </row>
    <row r="86" spans="1:59" x14ac:dyDescent="0.3">
      <c r="C86" s="15"/>
      <c r="D86" s="14"/>
      <c r="E86" s="4"/>
      <c r="F86" s="3"/>
      <c r="G86" s="14"/>
      <c r="I86" s="51">
        <v>25.54</v>
      </c>
      <c r="J86" s="34">
        <v>2099</v>
      </c>
      <c r="K86" s="34">
        <v>1663</v>
      </c>
      <c r="L86" s="35">
        <v>1582</v>
      </c>
      <c r="M86" s="34">
        <f t="shared" si="9"/>
        <v>0.26217678893565843</v>
      </c>
      <c r="N86" s="67">
        <f t="shared" si="23"/>
        <v>0.26217678893565843</v>
      </c>
      <c r="O86" s="67">
        <f t="shared" si="24"/>
        <v>0.32680151706700378</v>
      </c>
      <c r="AI86">
        <v>0.12812499999999999</v>
      </c>
      <c r="AJ86">
        <v>0.132161</v>
      </c>
      <c r="AK86">
        <v>0.122962</v>
      </c>
      <c r="AL86">
        <v>0.121449</v>
      </c>
      <c r="AM86">
        <v>0.11011899999999999</v>
      </c>
      <c r="AN86">
        <v>0.11562500000000001</v>
      </c>
      <c r="AO86">
        <v>0.136513</v>
      </c>
      <c r="AP86">
        <v>0.14236099999999999</v>
      </c>
      <c r="AQ86">
        <v>0.12683800000000001</v>
      </c>
      <c r="AR86">
        <v>0.12207</v>
      </c>
      <c r="AS86">
        <v>0.11874999999999999</v>
      </c>
      <c r="AT86">
        <v>0.114955</v>
      </c>
      <c r="AU86">
        <v>0.111779</v>
      </c>
      <c r="AV86">
        <v>0.140625</v>
      </c>
      <c r="AW86">
        <v>0.11931799999999999</v>
      </c>
      <c r="AX86">
        <v>0.114062</v>
      </c>
      <c r="AY86">
        <v>0.12673599999999999</v>
      </c>
      <c r="AZ86">
        <v>0.162109</v>
      </c>
      <c r="BA86">
        <v>0.14285700000000001</v>
      </c>
      <c r="BB86">
        <v>0.14843799999999999</v>
      </c>
      <c r="BC86">
        <v>0.12812499999999999</v>
      </c>
      <c r="BD86">
        <v>0.117188</v>
      </c>
      <c r="BE86">
        <v>9.375E-2</v>
      </c>
      <c r="BF86">
        <v>0.125</v>
      </c>
      <c r="BG86">
        <v>1.5625E-2</v>
      </c>
    </row>
    <row r="87" spans="1:59" x14ac:dyDescent="0.3">
      <c r="C87" s="15"/>
      <c r="D87" s="14"/>
      <c r="E87" s="4"/>
      <c r="F87" s="3"/>
      <c r="G87" s="14"/>
      <c r="I87" s="51">
        <v>27.864999999999998</v>
      </c>
      <c r="J87" s="34">
        <v>2047</v>
      </c>
      <c r="K87" s="34">
        <v>1668</v>
      </c>
      <c r="L87" s="35">
        <v>1618</v>
      </c>
      <c r="M87" s="34">
        <f t="shared" si="9"/>
        <v>0.22721822541966427</v>
      </c>
      <c r="N87" s="67">
        <f t="shared" si="23"/>
        <v>0.22721822541966427</v>
      </c>
      <c r="O87" s="67">
        <f t="shared" si="24"/>
        <v>0.26514215080346104</v>
      </c>
      <c r="AI87">
        <v>0.12687499999999999</v>
      </c>
      <c r="AJ87">
        <v>0.153646</v>
      </c>
      <c r="AK87">
        <v>0.12567900000000001</v>
      </c>
      <c r="AL87">
        <v>0.13778399999999999</v>
      </c>
      <c r="AM87">
        <v>0.136905</v>
      </c>
      <c r="AN87">
        <v>0.124219</v>
      </c>
      <c r="AO87">
        <v>0.127467</v>
      </c>
      <c r="AP87">
        <v>0.12934000000000001</v>
      </c>
      <c r="AQ87">
        <v>0.125919</v>
      </c>
      <c r="AR87">
        <v>0.12890599999999999</v>
      </c>
      <c r="AS87">
        <v>0.123958</v>
      </c>
      <c r="AT87">
        <v>0.13058</v>
      </c>
      <c r="AU87">
        <v>0.125</v>
      </c>
      <c r="AV87">
        <v>0.13020799999999999</v>
      </c>
      <c r="AW87">
        <v>9.8011000000000001E-2</v>
      </c>
      <c r="AX87">
        <v>0.129688</v>
      </c>
      <c r="AY87">
        <v>0.13020799999999999</v>
      </c>
      <c r="AZ87">
        <v>0.111328</v>
      </c>
      <c r="BA87">
        <v>0.11830400000000001</v>
      </c>
      <c r="BB87">
        <v>0.16666700000000001</v>
      </c>
      <c r="BC87">
        <v>9.375E-2</v>
      </c>
      <c r="BD87">
        <v>0.12109399999999999</v>
      </c>
      <c r="BE87">
        <v>0.119792</v>
      </c>
      <c r="BF87">
        <v>0.13281200000000001</v>
      </c>
      <c r="BG87">
        <v>0.109375</v>
      </c>
    </row>
    <row r="88" spans="1:59" x14ac:dyDescent="0.3">
      <c r="C88" s="15"/>
      <c r="D88" s="14"/>
      <c r="E88" s="4"/>
      <c r="F88" s="3"/>
      <c r="G88" s="14"/>
      <c r="I88" s="51">
        <v>31.247</v>
      </c>
      <c r="J88" s="34">
        <v>1925</v>
      </c>
      <c r="K88" s="34">
        <v>1682</v>
      </c>
      <c r="L88" s="35">
        <v>1682</v>
      </c>
      <c r="M88" s="34">
        <f t="shared" si="9"/>
        <v>0.14447086801426873</v>
      </c>
      <c r="N88" s="67">
        <f t="shared" si="23"/>
        <v>0.14447086801426873</v>
      </c>
      <c r="O88" s="67">
        <f t="shared" si="24"/>
        <v>0.14447086801426873</v>
      </c>
      <c r="AI88">
        <v>0.136875</v>
      </c>
      <c r="AJ88">
        <v>0.130859</v>
      </c>
      <c r="AK88">
        <v>0.11684799999999999</v>
      </c>
      <c r="AL88">
        <v>0.140625</v>
      </c>
      <c r="AM88">
        <v>0.13169600000000001</v>
      </c>
      <c r="AN88">
        <v>0.14453099999999999</v>
      </c>
      <c r="AO88">
        <v>0.13240099999999999</v>
      </c>
      <c r="AP88">
        <v>0.11024299999999999</v>
      </c>
      <c r="AQ88">
        <v>0.11489000000000001</v>
      </c>
      <c r="AR88">
        <v>0.11035200000000001</v>
      </c>
      <c r="AS88">
        <v>0.10625</v>
      </c>
      <c r="AT88">
        <v>0.13392899999999999</v>
      </c>
      <c r="AU88">
        <v>0.11899</v>
      </c>
      <c r="AV88">
        <v>0.122396</v>
      </c>
      <c r="AW88">
        <v>0.113636</v>
      </c>
      <c r="AX88">
        <v>0.11093699999999999</v>
      </c>
      <c r="AY88">
        <v>0.119792</v>
      </c>
      <c r="AZ88">
        <v>0.12109399999999999</v>
      </c>
      <c r="BA88">
        <v>0.129464</v>
      </c>
      <c r="BB88">
        <v>0.125</v>
      </c>
      <c r="BC88">
        <v>0.15937499999999999</v>
      </c>
      <c r="BD88">
        <v>0.125</v>
      </c>
      <c r="BE88">
        <v>0.13541700000000001</v>
      </c>
      <c r="BF88">
        <v>0.125</v>
      </c>
      <c r="BG88">
        <v>0.25</v>
      </c>
    </row>
    <row r="89" spans="1:59" x14ac:dyDescent="0.3">
      <c r="C89" s="15"/>
      <c r="D89" s="14"/>
      <c r="E89" s="4"/>
      <c r="F89" s="3"/>
      <c r="G89" s="14"/>
      <c r="I89" s="51">
        <v>40.905999999999949</v>
      </c>
      <c r="J89" s="34">
        <v>1994</v>
      </c>
      <c r="K89" s="34">
        <v>1691</v>
      </c>
      <c r="L89" s="35">
        <v>1628</v>
      </c>
      <c r="M89" s="34">
        <f t="shared" si="9"/>
        <v>0.17918391484328799</v>
      </c>
      <c r="N89" s="67">
        <f t="shared" si="23"/>
        <v>0.17918391484328799</v>
      </c>
      <c r="O89" s="67">
        <f t="shared" si="24"/>
        <v>0.22481572481572482</v>
      </c>
      <c r="AI89">
        <v>0.13437499999999999</v>
      </c>
      <c r="AJ89">
        <v>0.12890599999999999</v>
      </c>
      <c r="AK89">
        <v>0.112092</v>
      </c>
      <c r="AL89">
        <v>0.11505700000000001</v>
      </c>
      <c r="AM89">
        <v>0.12128</v>
      </c>
      <c r="AN89">
        <v>0.12890599999999999</v>
      </c>
      <c r="AO89">
        <v>0.13075700000000001</v>
      </c>
      <c r="AP89">
        <v>0.125</v>
      </c>
      <c r="AQ89">
        <v>0.12775700000000001</v>
      </c>
      <c r="AR89">
        <v>0.12597700000000001</v>
      </c>
      <c r="AS89">
        <v>0.13333300000000001</v>
      </c>
      <c r="AT89">
        <v>0.12388399999999999</v>
      </c>
      <c r="AU89">
        <v>0.111779</v>
      </c>
      <c r="AV89">
        <v>0.13150999999999999</v>
      </c>
      <c r="AW89">
        <v>0.13778399999999999</v>
      </c>
      <c r="AX89">
        <v>0.15</v>
      </c>
      <c r="AY89">
        <v>0.13541700000000001</v>
      </c>
      <c r="AZ89">
        <v>0.12695300000000001</v>
      </c>
      <c r="BA89">
        <v>0.15625</v>
      </c>
      <c r="BB89">
        <v>0.127604</v>
      </c>
      <c r="BC89">
        <v>0.14374999999999999</v>
      </c>
      <c r="BD89">
        <v>0.14453099999999999</v>
      </c>
      <c r="BE89">
        <v>0.16145799999999999</v>
      </c>
      <c r="BF89">
        <v>0.125</v>
      </c>
      <c r="BG89">
        <v>7.8125E-2</v>
      </c>
    </row>
    <row r="90" spans="1:59" x14ac:dyDescent="0.3">
      <c r="C90" s="15"/>
      <c r="D90" s="14"/>
      <c r="E90" s="4"/>
      <c r="F90" s="3"/>
      <c r="G90" s="14"/>
      <c r="I90" s="51">
        <v>56.079000000000178</v>
      </c>
      <c r="J90" s="34">
        <v>1976</v>
      </c>
      <c r="K90" s="34">
        <v>1681</v>
      </c>
      <c r="L90" s="35">
        <v>1653</v>
      </c>
      <c r="M90" s="34">
        <f t="shared" si="9"/>
        <v>0.17549077929803689</v>
      </c>
      <c r="N90" s="67">
        <f t="shared" si="23"/>
        <v>0.17549077929803689</v>
      </c>
      <c r="O90" s="67">
        <f t="shared" si="24"/>
        <v>0.19540229885057472</v>
      </c>
      <c r="AI90">
        <v>0.121875</v>
      </c>
      <c r="AJ90">
        <v>0.130859</v>
      </c>
      <c r="AK90">
        <v>0.11684799999999999</v>
      </c>
      <c r="AL90">
        <v>0.132102</v>
      </c>
      <c r="AM90">
        <v>0.133185</v>
      </c>
      <c r="AN90">
        <v>0.116406</v>
      </c>
      <c r="AO90">
        <v>0.13486799999999999</v>
      </c>
      <c r="AP90">
        <v>0.13281200000000001</v>
      </c>
      <c r="AQ90">
        <v>0.12959599999999999</v>
      </c>
      <c r="AR90">
        <v>0.12890599999999999</v>
      </c>
      <c r="AS90">
        <v>0.136458</v>
      </c>
      <c r="AT90">
        <v>0.13950899999999999</v>
      </c>
      <c r="AU90">
        <v>0.116587</v>
      </c>
      <c r="AV90">
        <v>0.138021</v>
      </c>
      <c r="AW90">
        <v>0.13636400000000001</v>
      </c>
      <c r="AX90">
        <v>0.12812499999999999</v>
      </c>
      <c r="AY90">
        <v>0.14236099999999999</v>
      </c>
      <c r="AZ90">
        <v>0.123047</v>
      </c>
      <c r="BA90">
        <v>0.129464</v>
      </c>
      <c r="BB90">
        <v>0.13541700000000001</v>
      </c>
      <c r="BC90">
        <v>0.14687500000000001</v>
      </c>
      <c r="BD90">
        <v>0.12109399999999999</v>
      </c>
      <c r="BE90">
        <v>0.15104200000000001</v>
      </c>
      <c r="BF90">
        <v>0.13281200000000001</v>
      </c>
      <c r="BG90">
        <v>0.109375</v>
      </c>
    </row>
    <row r="91" spans="1:59" ht="15" thickBot="1" x14ac:dyDescent="0.35">
      <c r="A91" s="21"/>
      <c r="B91" s="21"/>
      <c r="C91" s="16"/>
      <c r="D91" s="17"/>
      <c r="E91" s="10"/>
      <c r="F91" s="11"/>
      <c r="G91" s="17"/>
      <c r="H91" s="38"/>
      <c r="I91" s="53">
        <v>56.875</v>
      </c>
      <c r="J91" s="36">
        <v>1881</v>
      </c>
      <c r="K91" s="36">
        <v>1682</v>
      </c>
      <c r="L91" s="37">
        <v>1676</v>
      </c>
      <c r="M91" s="77">
        <f t="shared" si="9"/>
        <v>0.11831153388822829</v>
      </c>
      <c r="N91" s="117">
        <f t="shared" si="23"/>
        <v>0.11831153388822829</v>
      </c>
      <c r="O91" s="117">
        <f t="shared" si="24"/>
        <v>0.12231503579952267</v>
      </c>
      <c r="AI91">
        <v>0.1275</v>
      </c>
      <c r="AJ91">
        <v>0.12044299999999999</v>
      </c>
      <c r="AK91">
        <v>0.10258200000000001</v>
      </c>
      <c r="AL91">
        <v>0.12570999999999999</v>
      </c>
      <c r="AM91">
        <v>0.13020799999999999</v>
      </c>
      <c r="AN91">
        <v>0.12656200000000001</v>
      </c>
      <c r="AO91">
        <v>0.13486799999999999</v>
      </c>
      <c r="AP91">
        <v>0.117188</v>
      </c>
      <c r="AQ91">
        <v>0.120404</v>
      </c>
      <c r="AR91">
        <v>0.115234</v>
      </c>
      <c r="AS91">
        <v>0.120833</v>
      </c>
      <c r="AT91">
        <v>0.125</v>
      </c>
      <c r="AU91">
        <v>0.122596</v>
      </c>
      <c r="AV91">
        <v>0.111979</v>
      </c>
      <c r="AW91">
        <v>0.12642</v>
      </c>
      <c r="AX91">
        <v>0.11562500000000001</v>
      </c>
      <c r="AY91">
        <v>0.114583</v>
      </c>
      <c r="AZ91">
        <v>9.7656000000000007E-2</v>
      </c>
      <c r="BA91">
        <v>0.13392899999999999</v>
      </c>
      <c r="BB91">
        <v>0.119792</v>
      </c>
      <c r="BC91">
        <v>0.11874999999999999</v>
      </c>
      <c r="BD91">
        <v>0.101562</v>
      </c>
      <c r="BE91">
        <v>9.8958000000000004E-2</v>
      </c>
      <c r="BF91">
        <v>0.13281200000000001</v>
      </c>
      <c r="BG91">
        <v>0.109375</v>
      </c>
    </row>
    <row r="93" spans="1:59" x14ac:dyDescent="0.3">
      <c r="Q93" s="44"/>
      <c r="AI93">
        <f>AVERAGE(AI62:AI91)</f>
        <v>0.12364583333333333</v>
      </c>
      <c r="AJ93">
        <f t="shared" ref="AJ93:BG93" si="25">AVERAGE(AJ62:AJ91)</f>
        <v>0.12480463333333333</v>
      </c>
      <c r="AK93">
        <f t="shared" si="25"/>
        <v>0.12434323333333329</v>
      </c>
      <c r="AL93">
        <f t="shared" si="25"/>
        <v>0.12916666666666668</v>
      </c>
      <c r="AM93">
        <f t="shared" si="25"/>
        <v>0.1250247666666667</v>
      </c>
      <c r="AN93">
        <f t="shared" si="25"/>
        <v>0.12638020000000003</v>
      </c>
      <c r="AO93">
        <f t="shared" si="25"/>
        <v>0.12628839999999997</v>
      </c>
      <c r="AP93">
        <f t="shared" si="25"/>
        <v>0.12485523333333336</v>
      </c>
      <c r="AQ93">
        <f t="shared" si="25"/>
        <v>0.12552073333333333</v>
      </c>
      <c r="AR93">
        <f t="shared" si="25"/>
        <v>0.12249353333333336</v>
      </c>
      <c r="AS93">
        <f t="shared" si="25"/>
        <v>0.1242708</v>
      </c>
      <c r="AT93">
        <f t="shared" si="25"/>
        <v>0.12734373333333335</v>
      </c>
      <c r="AU93">
        <f t="shared" si="25"/>
        <v>0.1200721333333333</v>
      </c>
      <c r="AV93">
        <f t="shared" si="25"/>
        <v>0.12669273333333333</v>
      </c>
      <c r="AW93">
        <f t="shared" si="25"/>
        <v>0.12443176666666664</v>
      </c>
      <c r="AX93">
        <f t="shared" si="25"/>
        <v>0.1234895333333333</v>
      </c>
      <c r="AY93">
        <f t="shared" si="25"/>
        <v>0.12893516666666668</v>
      </c>
      <c r="AZ93">
        <f t="shared" si="25"/>
        <v>0.12519533333333335</v>
      </c>
      <c r="BA93">
        <f t="shared" si="25"/>
        <v>0.12879460000000001</v>
      </c>
      <c r="BB93">
        <f t="shared" si="25"/>
        <v>0.12934036666666668</v>
      </c>
      <c r="BC93">
        <f t="shared" si="25"/>
        <v>0.12614583333333332</v>
      </c>
      <c r="BD93">
        <f t="shared" si="25"/>
        <v>0.12526036666666668</v>
      </c>
      <c r="BE93">
        <f t="shared" si="25"/>
        <v>0.12638886666666668</v>
      </c>
      <c r="BF93">
        <f t="shared" si="25"/>
        <v>0.12213533333333333</v>
      </c>
      <c r="BG93">
        <f t="shared" si="25"/>
        <v>9.0104166666666666E-2</v>
      </c>
    </row>
    <row r="94" spans="1:59" x14ac:dyDescent="0.3">
      <c r="C94" t="e">
        <f>AVERAGE(C62:C91)</f>
        <v>#DIV/0!</v>
      </c>
      <c r="I94">
        <f>AVERAGE(I62:I91)</f>
        <v>34.605600000000003</v>
      </c>
      <c r="J94" t="s">
        <v>17</v>
      </c>
      <c r="N94">
        <f>AVERAGE(N62:N91)</f>
        <v>0.18498875297554862</v>
      </c>
      <c r="O94">
        <f>AVERAGE(O62:O91)</f>
        <v>0.21261622427996249</v>
      </c>
      <c r="Q94" s="44"/>
      <c r="S94" s="121"/>
      <c r="T94" s="121"/>
      <c r="U94" s="121"/>
      <c r="V94" s="121"/>
      <c r="W94" s="121"/>
      <c r="Y94" s="121"/>
      <c r="Z94" s="121"/>
      <c r="AA94" s="121"/>
      <c r="AB94" s="121"/>
      <c r="AC94" s="121"/>
      <c r="AD94" s="121"/>
      <c r="AE94" s="121"/>
    </row>
    <row r="95" spans="1:59" x14ac:dyDescent="0.3">
      <c r="I95">
        <f>_xlfn.STDEV.S(I62:I91)</f>
        <v>9.1979905811560094</v>
      </c>
      <c r="J95" s="44">
        <f>I95/I94</f>
        <v>0.26579485924694296</v>
      </c>
      <c r="Q95" s="44"/>
      <c r="S95" s="121"/>
      <c r="T95" s="121"/>
      <c r="U95" s="121"/>
      <c r="V95" s="121"/>
      <c r="W95" s="121"/>
      <c r="Y95" s="121"/>
      <c r="Z95" s="121"/>
      <c r="AA95" s="121"/>
      <c r="AB95" s="121"/>
      <c r="AC95" s="121"/>
      <c r="AD95" s="121"/>
      <c r="AE95" s="121"/>
    </row>
    <row r="118" spans="3:48" ht="15" thickBot="1" x14ac:dyDescent="0.35">
      <c r="C118" s="44" t="s">
        <v>13</v>
      </c>
      <c r="D118" s="44" t="s">
        <v>14</v>
      </c>
    </row>
    <row r="119" spans="3:48" x14ac:dyDescent="0.3">
      <c r="C119" s="27" t="s">
        <v>3</v>
      </c>
      <c r="D119" s="28"/>
      <c r="E119" s="28"/>
      <c r="F119" s="28"/>
      <c r="G119" s="28"/>
      <c r="H119" s="28"/>
      <c r="I119" s="5" t="s">
        <v>12</v>
      </c>
      <c r="J119" s="22"/>
      <c r="K119" s="22"/>
      <c r="L119" s="22"/>
      <c r="M119" s="22"/>
      <c r="N119" s="22"/>
      <c r="O119" s="6"/>
    </row>
    <row r="120" spans="3:48" x14ac:dyDescent="0.3">
      <c r="C120" s="15" t="s">
        <v>4</v>
      </c>
      <c r="D120" s="14" t="s">
        <v>0</v>
      </c>
      <c r="E120" s="14" t="s">
        <v>7</v>
      </c>
      <c r="F120" s="3" t="s">
        <v>8</v>
      </c>
      <c r="G120" s="13" t="s">
        <v>9</v>
      </c>
      <c r="H120" s="55" t="s">
        <v>10</v>
      </c>
      <c r="I120" s="71" t="s">
        <v>4</v>
      </c>
      <c r="J120" s="48" t="s">
        <v>0</v>
      </c>
      <c r="K120" s="48" t="s">
        <v>7</v>
      </c>
      <c r="L120" s="55" t="s">
        <v>8</v>
      </c>
      <c r="M120" s="48" t="s">
        <v>9</v>
      </c>
      <c r="N120" s="1" t="s">
        <v>10</v>
      </c>
      <c r="O120" s="69" t="s">
        <v>18</v>
      </c>
      <c r="Q120" t="s">
        <v>15</v>
      </c>
      <c r="R120">
        <f>SQRT(29)</f>
        <v>5.3851648071345037</v>
      </c>
    </row>
    <row r="121" spans="3:48" ht="15" thickBot="1" x14ac:dyDescent="0.35">
      <c r="C121" s="20"/>
      <c r="D121" s="13"/>
      <c r="E121" s="2"/>
      <c r="F121" s="1"/>
      <c r="G121" s="13"/>
      <c r="I121" s="49">
        <v>27.54</v>
      </c>
      <c r="J121" s="32">
        <v>1646</v>
      </c>
      <c r="K121" s="32">
        <v>1222</v>
      </c>
      <c r="L121" s="33">
        <v>1001</v>
      </c>
      <c r="M121" s="33"/>
      <c r="N121" s="32">
        <f>(J121-K121)/K121</f>
        <v>0.34697217675941078</v>
      </c>
      <c r="O121" s="78">
        <f>(J121-L121)/L121</f>
        <v>0.64435564435564441</v>
      </c>
      <c r="S121" t="s">
        <v>16</v>
      </c>
      <c r="T121" t="s">
        <v>44</v>
      </c>
      <c r="U121" t="s">
        <v>8</v>
      </c>
      <c r="AH121">
        <v>0.21562500000000001</v>
      </c>
      <c r="AI121">
        <v>0.29352699999999998</v>
      </c>
      <c r="AJ121">
        <v>0.31009599999999998</v>
      </c>
      <c r="AK121">
        <v>0.359375</v>
      </c>
      <c r="AL121">
        <v>0.43608000000000002</v>
      </c>
      <c r="AM121">
        <v>0.36718800000000001</v>
      </c>
      <c r="AN121">
        <v>0.29166700000000001</v>
      </c>
      <c r="AO121">
        <v>0.34570299999999998</v>
      </c>
      <c r="AP121">
        <v>0.296875</v>
      </c>
      <c r="AQ121">
        <v>0.388021</v>
      </c>
      <c r="AR121">
        <v>0.42499999999999999</v>
      </c>
      <c r="AS121">
        <v>0.421875</v>
      </c>
      <c r="AT121">
        <v>0.359375</v>
      </c>
      <c r="AU121">
        <v>0.28906199999999999</v>
      </c>
      <c r="AV121">
        <v>3.125E-2</v>
      </c>
    </row>
    <row r="122" spans="3:48" ht="15" thickBot="1" x14ac:dyDescent="0.35">
      <c r="C122" s="15"/>
      <c r="D122" s="14"/>
      <c r="E122" s="4"/>
      <c r="F122" s="3"/>
      <c r="G122" s="14"/>
      <c r="I122" s="51">
        <v>27.64</v>
      </c>
      <c r="J122" s="34">
        <v>1774</v>
      </c>
      <c r="K122" s="34">
        <v>1149</v>
      </c>
      <c r="L122" s="35">
        <v>1029</v>
      </c>
      <c r="M122" s="35"/>
      <c r="N122" s="32">
        <f t="shared" ref="N122:N150" si="26">(J122-K122)/K122</f>
        <v>0.54395126196692778</v>
      </c>
      <c r="O122" s="78">
        <f t="shared" ref="O122:O150" si="27">(J122-L122)/L122</f>
        <v>0.7240038872691934</v>
      </c>
      <c r="Q122" s="5">
        <v>0</v>
      </c>
      <c r="R122" s="22">
        <v>0.1</v>
      </c>
      <c r="S122" s="59">
        <f>COUNTIFS($M$121:$M$150,"&lt;"&amp;R122,$M$121:$M$150,"&gt;="&amp;Q122)/30</f>
        <v>0</v>
      </c>
      <c r="T122" s="56">
        <f>COUNTIFS($N$121:$N$150,"&lt;"&amp;R122,$N$121:$N$150,"&gt;="&amp;Q122)/30</f>
        <v>0</v>
      </c>
      <c r="U122" s="62">
        <f>COUNTIFS($O$121:$O$150,"&lt;"&amp;R122,$O$121:$O$150,"&gt;="&amp;Q122)/30</f>
        <v>0</v>
      </c>
      <c r="V122" s="6" t="str">
        <f>_xlfn.CONCAT(TEXT(Q122,"0.00"),"-",TEXT(R122,"0.00"))</f>
        <v>0.00-0.10</v>
      </c>
      <c r="AH122">
        <v>0.26145800000000002</v>
      </c>
      <c r="AI122">
        <v>0.27567000000000003</v>
      </c>
      <c r="AJ122">
        <v>0.37259599999999998</v>
      </c>
      <c r="AK122">
        <v>0.28255200000000003</v>
      </c>
      <c r="AL122">
        <v>0.45880700000000002</v>
      </c>
      <c r="AM122">
        <v>0.46406199999999997</v>
      </c>
      <c r="AN122">
        <v>0.81076400000000004</v>
      </c>
      <c r="AO122">
        <v>0.68164100000000005</v>
      </c>
      <c r="AP122">
        <v>0.63169600000000004</v>
      </c>
      <c r="AQ122">
        <v>1.21875</v>
      </c>
      <c r="AR122">
        <v>0.78437500000000004</v>
      </c>
      <c r="AS122">
        <v>0.796875</v>
      </c>
      <c r="AT122">
        <v>0.97916700000000001</v>
      </c>
      <c r="AU122">
        <v>1.0390619999999999</v>
      </c>
      <c r="AV122">
        <v>0.625</v>
      </c>
    </row>
    <row r="123" spans="3:48" ht="15" thickBot="1" x14ac:dyDescent="0.35">
      <c r="C123" s="15"/>
      <c r="D123" s="14"/>
      <c r="E123" s="4"/>
      <c r="F123" s="3"/>
      <c r="G123" s="14"/>
      <c r="I123" s="51">
        <v>37.985000000000007</v>
      </c>
      <c r="J123" s="34">
        <v>1990</v>
      </c>
      <c r="K123" s="34">
        <v>1335</v>
      </c>
      <c r="L123" s="35">
        <v>1077</v>
      </c>
      <c r="M123" s="35"/>
      <c r="N123" s="32">
        <f t="shared" si="26"/>
        <v>0.49063670411985016</v>
      </c>
      <c r="O123" s="78">
        <f t="shared" si="27"/>
        <v>0.84772516248839369</v>
      </c>
      <c r="Q123" s="7">
        <f t="shared" ref="Q123" si="28">R122</f>
        <v>0.1</v>
      </c>
      <c r="R123">
        <f>Q123+0.1</f>
        <v>0.2</v>
      </c>
      <c r="S123" s="59">
        <f t="shared" ref="S123:S129" si="29">COUNTIFS($M$121:$M$150,"&lt;"&amp;R123,$M$121:$M$150,"&gt;="&amp;Q123)/30</f>
        <v>0</v>
      </c>
      <c r="T123" s="56">
        <f t="shared" ref="T123:T129" si="30">COUNTIFS($N$121:$N$150,"&lt;"&amp;R123,$N$121:$N$150,"&gt;="&amp;Q123)/30</f>
        <v>0</v>
      </c>
      <c r="U123" s="62">
        <f t="shared" ref="U123:U129" si="31">COUNTIFS($O$121:$O$150,"&lt;"&amp;R123,$O$121:$O$150,"&gt;="&amp;Q123)/30</f>
        <v>0</v>
      </c>
      <c r="V123" s="8" t="str">
        <f t="shared" ref="V123:V129" si="32">_xlfn.CONCAT(TEXT(Q123,"0.00"),"-",TEXT(R123,"0.00"))</f>
        <v>0.10-0.20</v>
      </c>
      <c r="AH123">
        <v>0.44374999999999998</v>
      </c>
      <c r="AI123">
        <v>0.76785700000000001</v>
      </c>
      <c r="AJ123">
        <v>0.4375</v>
      </c>
      <c r="AK123">
        <v>0.59895799999999999</v>
      </c>
      <c r="AL123">
        <v>0.625</v>
      </c>
      <c r="AM123">
        <v>0.65312499999999996</v>
      </c>
      <c r="AN123">
        <v>0.67361099999999996</v>
      </c>
      <c r="AO123">
        <v>0.63476600000000005</v>
      </c>
      <c r="AP123">
        <v>0.77008900000000002</v>
      </c>
      <c r="AQ123">
        <v>0.74218799999999996</v>
      </c>
      <c r="AR123">
        <v>0.890625</v>
      </c>
      <c r="AS123">
        <v>0.89843799999999996</v>
      </c>
      <c r="AT123">
        <v>0.578125</v>
      </c>
      <c r="AU123">
        <v>0.578125</v>
      </c>
      <c r="AV123">
        <v>0.484375</v>
      </c>
    </row>
    <row r="124" spans="3:48" ht="15" thickBot="1" x14ac:dyDescent="0.35">
      <c r="C124" s="15"/>
      <c r="D124" s="14"/>
      <c r="E124" s="4"/>
      <c r="F124" s="3"/>
      <c r="G124" s="14"/>
      <c r="I124" s="51">
        <v>35.420999999999992</v>
      </c>
      <c r="J124" s="34">
        <v>1713</v>
      </c>
      <c r="K124" s="34">
        <v>1303</v>
      </c>
      <c r="L124" s="35">
        <v>1062</v>
      </c>
      <c r="M124" s="35"/>
      <c r="N124" s="32">
        <f t="shared" si="26"/>
        <v>0.31465848042977745</v>
      </c>
      <c r="O124" s="78">
        <f t="shared" si="27"/>
        <v>0.61299435028248583</v>
      </c>
      <c r="Q124" s="7">
        <f t="shared" ref="Q124:Q129" si="33">R123</f>
        <v>0.2</v>
      </c>
      <c r="R124">
        <f t="shared" ref="R124:R128" si="34">Q124+0.1</f>
        <v>0.30000000000000004</v>
      </c>
      <c r="S124" s="59">
        <f t="shared" si="29"/>
        <v>0</v>
      </c>
      <c r="T124" s="56">
        <f t="shared" si="30"/>
        <v>6.6666666666666666E-2</v>
      </c>
      <c r="U124" s="62">
        <f t="shared" si="31"/>
        <v>0</v>
      </c>
      <c r="V124" s="8" t="str">
        <f t="shared" si="32"/>
        <v>0.20-0.30</v>
      </c>
      <c r="AH124">
        <v>0.35312500000000002</v>
      </c>
      <c r="AI124">
        <v>0.43861600000000001</v>
      </c>
      <c r="AJ124">
        <v>0.585337</v>
      </c>
      <c r="AK124">
        <v>0.60677099999999995</v>
      </c>
      <c r="AL124">
        <v>0.63352299999999995</v>
      </c>
      <c r="AM124">
        <v>0.52968700000000002</v>
      </c>
      <c r="AN124">
        <v>0.52430600000000005</v>
      </c>
      <c r="AO124">
        <v>0.66210899999999995</v>
      </c>
      <c r="AP124">
        <v>0.484375</v>
      </c>
      <c r="AQ124">
        <v>0.50520799999999999</v>
      </c>
      <c r="AR124">
        <v>0.515625</v>
      </c>
      <c r="AS124">
        <v>0.57031200000000004</v>
      </c>
      <c r="AT124">
        <v>0.56770799999999999</v>
      </c>
      <c r="AU124">
        <v>0.453125</v>
      </c>
      <c r="AV124">
        <v>0.625</v>
      </c>
    </row>
    <row r="125" spans="3:48" ht="15" thickBot="1" x14ac:dyDescent="0.35">
      <c r="C125" s="15"/>
      <c r="D125" s="14"/>
      <c r="E125" s="4"/>
      <c r="F125" s="3"/>
      <c r="G125" s="14"/>
      <c r="I125" s="51">
        <v>35.516000000000005</v>
      </c>
      <c r="J125" s="34">
        <v>1624</v>
      </c>
      <c r="K125" s="34">
        <v>1192</v>
      </c>
      <c r="L125" s="35">
        <v>959</v>
      </c>
      <c r="M125" s="35"/>
      <c r="N125" s="32">
        <f t="shared" si="26"/>
        <v>0.36241610738255031</v>
      </c>
      <c r="O125" s="78">
        <f t="shared" si="27"/>
        <v>0.69343065693430661</v>
      </c>
      <c r="Q125" s="7">
        <f t="shared" si="33"/>
        <v>0.30000000000000004</v>
      </c>
      <c r="R125">
        <f t="shared" si="34"/>
        <v>0.4</v>
      </c>
      <c r="S125" s="59">
        <f t="shared" si="29"/>
        <v>0</v>
      </c>
      <c r="T125" s="56">
        <f t="shared" si="30"/>
        <v>0.3</v>
      </c>
      <c r="U125" s="62">
        <f t="shared" si="31"/>
        <v>0</v>
      </c>
      <c r="V125" s="8" t="str">
        <f t="shared" si="32"/>
        <v>0.30-0.40</v>
      </c>
      <c r="Y125">
        <f>AVERAGE(N121:N150)</f>
        <v>0.43364274333399117</v>
      </c>
      <c r="Z125">
        <f>AVERAGE(O121:O150)</f>
        <v>0.72315634977843646</v>
      </c>
      <c r="AH125">
        <v>0.40208300000000002</v>
      </c>
      <c r="AI125">
        <v>0.33147300000000002</v>
      </c>
      <c r="AJ125">
        <v>0.37980799999999998</v>
      </c>
      <c r="AK125">
        <v>0.47786499999999998</v>
      </c>
      <c r="AL125">
        <v>0.41619299999999998</v>
      </c>
      <c r="AM125">
        <v>0.45468799999999998</v>
      </c>
      <c r="AN125">
        <v>0.54166700000000001</v>
      </c>
      <c r="AO125">
        <v>0.50195299999999998</v>
      </c>
      <c r="AP125">
        <v>0.49107099999999998</v>
      </c>
      <c r="AQ125">
        <v>0.486979</v>
      </c>
      <c r="AR125">
        <v>0.45937499999999998</v>
      </c>
      <c r="AS125">
        <v>0.47265600000000002</v>
      </c>
      <c r="AT125">
        <v>0.5625</v>
      </c>
      <c r="AU125">
        <v>0.52343799999999996</v>
      </c>
      <c r="AV125">
        <v>0.375</v>
      </c>
    </row>
    <row r="126" spans="3:48" ht="15" thickBot="1" x14ac:dyDescent="0.35">
      <c r="C126" s="15"/>
      <c r="D126" s="14"/>
      <c r="E126" s="4"/>
      <c r="F126" s="3"/>
      <c r="G126" s="14"/>
      <c r="I126" s="51">
        <v>41.25</v>
      </c>
      <c r="J126" s="34">
        <v>1684</v>
      </c>
      <c r="K126" s="34">
        <v>1332</v>
      </c>
      <c r="L126" s="35">
        <v>1022</v>
      </c>
      <c r="M126" s="35"/>
      <c r="N126" s="32">
        <f t="shared" si="26"/>
        <v>0.26426426426426425</v>
      </c>
      <c r="O126" s="78">
        <f t="shared" si="27"/>
        <v>0.64774951076320941</v>
      </c>
      <c r="Q126" s="7">
        <f t="shared" si="33"/>
        <v>0.4</v>
      </c>
      <c r="R126">
        <f t="shared" si="34"/>
        <v>0.5</v>
      </c>
      <c r="S126" s="59">
        <f t="shared" si="29"/>
        <v>0</v>
      </c>
      <c r="T126" s="56">
        <f t="shared" si="30"/>
        <v>0.36666666666666664</v>
      </c>
      <c r="U126" s="62">
        <f t="shared" si="31"/>
        <v>0</v>
      </c>
      <c r="V126" s="8" t="str">
        <f t="shared" si="32"/>
        <v>0.40-0.50</v>
      </c>
      <c r="AH126">
        <v>0.37916699999999998</v>
      </c>
      <c r="AI126">
        <v>0.45535700000000001</v>
      </c>
      <c r="AJ126">
        <v>0.60336500000000004</v>
      </c>
      <c r="AK126">
        <v>0.61067700000000003</v>
      </c>
      <c r="AL126">
        <v>0.61789799999999995</v>
      </c>
      <c r="AM126">
        <v>0.52812499999999996</v>
      </c>
      <c r="AN126">
        <v>0.54166700000000001</v>
      </c>
      <c r="AO126">
        <v>0.57226600000000005</v>
      </c>
      <c r="AP126">
        <v>0.69642899999999996</v>
      </c>
      <c r="AQ126">
        <v>0.73697900000000005</v>
      </c>
      <c r="AR126">
        <v>0.58750000000000002</v>
      </c>
      <c r="AS126">
        <v>0.48828100000000002</v>
      </c>
      <c r="AT126">
        <v>0.52083299999999999</v>
      </c>
      <c r="AU126">
        <v>0.46875</v>
      </c>
      <c r="AV126">
        <v>0.515625</v>
      </c>
    </row>
    <row r="127" spans="3:48" ht="15" thickBot="1" x14ac:dyDescent="0.35">
      <c r="C127" s="15"/>
      <c r="D127" s="14"/>
      <c r="E127" s="4"/>
      <c r="F127" s="3"/>
      <c r="G127" s="14"/>
      <c r="I127" s="51">
        <v>37.515999999999991</v>
      </c>
      <c r="J127" s="34">
        <v>1724</v>
      </c>
      <c r="K127" s="34">
        <v>1181</v>
      </c>
      <c r="L127" s="35">
        <v>1004</v>
      </c>
      <c r="M127" s="35"/>
      <c r="N127" s="32">
        <f t="shared" si="26"/>
        <v>0.45977984758679086</v>
      </c>
      <c r="O127" s="78">
        <f t="shared" si="27"/>
        <v>0.71713147410358569</v>
      </c>
      <c r="Q127" s="7">
        <f t="shared" si="33"/>
        <v>0.5</v>
      </c>
      <c r="R127">
        <f t="shared" si="34"/>
        <v>0.6</v>
      </c>
      <c r="S127" s="59">
        <f t="shared" si="29"/>
        <v>0</v>
      </c>
      <c r="T127" s="56">
        <f t="shared" si="30"/>
        <v>0.26666666666666666</v>
      </c>
      <c r="U127" s="62">
        <f t="shared" si="31"/>
        <v>6.6666666666666666E-2</v>
      </c>
      <c r="V127" s="8" t="str">
        <f t="shared" si="32"/>
        <v>0.50-0.60</v>
      </c>
      <c r="AH127">
        <v>0.314583</v>
      </c>
      <c r="AI127">
        <v>0.43861600000000001</v>
      </c>
      <c r="AJ127">
        <v>0.56850999999999996</v>
      </c>
      <c r="AK127">
        <v>0.67057299999999997</v>
      </c>
      <c r="AL127">
        <v>0.67897700000000005</v>
      </c>
      <c r="AM127">
        <v>0.651563</v>
      </c>
      <c r="AN127">
        <v>0.67708299999999999</v>
      </c>
      <c r="AO127">
        <v>0.71484400000000003</v>
      </c>
      <c r="AP127">
        <v>0.85714299999999999</v>
      </c>
      <c r="AQ127">
        <v>1.0390619999999999</v>
      </c>
      <c r="AR127">
        <v>0.73750000000000004</v>
      </c>
      <c r="AS127">
        <v>0.74609400000000003</v>
      </c>
      <c r="AT127">
        <v>0.96875</v>
      </c>
      <c r="AU127">
        <v>0.67968799999999996</v>
      </c>
      <c r="AV127">
        <v>0.71875</v>
      </c>
    </row>
    <row r="128" spans="3:48" ht="15" thickBot="1" x14ac:dyDescent="0.35">
      <c r="C128" s="15"/>
      <c r="D128" s="14"/>
      <c r="E128" s="4"/>
      <c r="F128" s="3"/>
      <c r="G128" s="14"/>
      <c r="I128" s="51">
        <v>35.73399999999998</v>
      </c>
      <c r="J128" s="34">
        <v>1569</v>
      </c>
      <c r="K128" s="34">
        <v>1170</v>
      </c>
      <c r="L128" s="35">
        <v>1029</v>
      </c>
      <c r="M128" s="35"/>
      <c r="N128" s="32">
        <f t="shared" si="26"/>
        <v>0.34102564102564104</v>
      </c>
      <c r="O128" s="78">
        <f t="shared" si="27"/>
        <v>0.52478134110787167</v>
      </c>
      <c r="Q128" s="7">
        <f t="shared" si="33"/>
        <v>0.6</v>
      </c>
      <c r="R128">
        <f t="shared" si="34"/>
        <v>0.7</v>
      </c>
      <c r="S128" s="59">
        <f t="shared" si="29"/>
        <v>0</v>
      </c>
      <c r="T128" s="56">
        <f t="shared" si="30"/>
        <v>0</v>
      </c>
      <c r="U128" s="62">
        <f t="shared" si="31"/>
        <v>0.36666666666666664</v>
      </c>
      <c r="V128" s="12" t="str">
        <f t="shared" si="32"/>
        <v>0.60-0.70</v>
      </c>
      <c r="AH128">
        <v>0.31979200000000002</v>
      </c>
      <c r="AI128">
        <v>0.39732099999999998</v>
      </c>
      <c r="AJ128">
        <v>0.527644</v>
      </c>
      <c r="AK128">
        <v>0.59635400000000005</v>
      </c>
      <c r="AL128">
        <v>0.63068199999999996</v>
      </c>
      <c r="AM128">
        <v>0.573438</v>
      </c>
      <c r="AN128">
        <v>0.52256899999999995</v>
      </c>
      <c r="AO128">
        <v>0.478516</v>
      </c>
      <c r="AP128">
        <v>0.70089299999999999</v>
      </c>
      <c r="AQ128">
        <v>0.88281200000000004</v>
      </c>
      <c r="AR128">
        <v>0.640625</v>
      </c>
      <c r="AS128">
        <v>0.82421900000000003</v>
      </c>
      <c r="AT128">
        <v>0.6875</v>
      </c>
      <c r="AU128">
        <v>0.625</v>
      </c>
      <c r="AV128">
        <v>0.6875</v>
      </c>
    </row>
    <row r="129" spans="3:48" ht="15" thickBot="1" x14ac:dyDescent="0.35">
      <c r="C129" s="15"/>
      <c r="D129" s="14"/>
      <c r="E129" s="4"/>
      <c r="F129" s="3"/>
      <c r="G129" s="14"/>
      <c r="I129" s="51">
        <v>32.703000000000031</v>
      </c>
      <c r="J129" s="34">
        <v>1750</v>
      </c>
      <c r="K129" s="34">
        <v>1234</v>
      </c>
      <c r="L129" s="35">
        <v>1015</v>
      </c>
      <c r="M129" s="35"/>
      <c r="N129" s="32">
        <f t="shared" si="26"/>
        <v>0.41815235008103729</v>
      </c>
      <c r="O129" s="78">
        <f t="shared" si="27"/>
        <v>0.72413793103448276</v>
      </c>
      <c r="Q129" s="7">
        <f t="shared" si="33"/>
        <v>0.7</v>
      </c>
      <c r="R129">
        <f>1</f>
        <v>1</v>
      </c>
      <c r="S129" s="59">
        <f t="shared" si="29"/>
        <v>0</v>
      </c>
      <c r="T129" s="56">
        <f t="shared" si="30"/>
        <v>0</v>
      </c>
      <c r="U129" s="62">
        <f t="shared" si="31"/>
        <v>0.56666666666666665</v>
      </c>
      <c r="V129" s="12" t="str">
        <f t="shared" si="32"/>
        <v>0.70-1.00</v>
      </c>
      <c r="AH129">
        <v>0.37604199999999999</v>
      </c>
      <c r="AI129">
        <v>0.51450899999999999</v>
      </c>
      <c r="AJ129">
        <v>0.47956700000000002</v>
      </c>
      <c r="AK129">
        <v>0.50911499999999998</v>
      </c>
      <c r="AL129">
        <v>0.46448899999999999</v>
      </c>
      <c r="AM129">
        <v>0.44218800000000003</v>
      </c>
      <c r="AN129">
        <v>0.53819399999999995</v>
      </c>
      <c r="AO129">
        <v>0.46484399999999998</v>
      </c>
      <c r="AP129">
        <v>0.54241099999999998</v>
      </c>
      <c r="AQ129">
        <v>0.52343799999999996</v>
      </c>
      <c r="AR129">
        <v>0.359375</v>
      </c>
      <c r="AS129">
        <v>0.44921899999999998</v>
      </c>
      <c r="AT129">
        <v>0.43229200000000001</v>
      </c>
      <c r="AU129">
        <v>0.390625</v>
      </c>
      <c r="AV129">
        <v>0.609375</v>
      </c>
    </row>
    <row r="130" spans="3:48" x14ac:dyDescent="0.3">
      <c r="C130" s="15"/>
      <c r="D130" s="14"/>
      <c r="E130" s="4"/>
      <c r="F130" s="3"/>
      <c r="G130" s="14"/>
      <c r="I130" s="51">
        <v>27.25</v>
      </c>
      <c r="J130" s="34">
        <v>1831</v>
      </c>
      <c r="K130" s="34">
        <v>1176</v>
      </c>
      <c r="L130" s="35">
        <v>1027</v>
      </c>
      <c r="M130" s="35"/>
      <c r="N130" s="32">
        <f t="shared" si="26"/>
        <v>0.55697278911564629</v>
      </c>
      <c r="O130" s="78">
        <f t="shared" si="27"/>
        <v>0.78286270691333981</v>
      </c>
      <c r="S130">
        <v>30</v>
      </c>
      <c r="T130">
        <v>30</v>
      </c>
      <c r="U130">
        <v>30</v>
      </c>
      <c r="AH130">
        <v>0.408333</v>
      </c>
      <c r="AI130">
        <v>0.38057999999999997</v>
      </c>
      <c r="AJ130">
        <v>0.35456700000000002</v>
      </c>
      <c r="AK130">
        <v>0.52734400000000003</v>
      </c>
      <c r="AL130">
        <v>0.66193199999999996</v>
      </c>
      <c r="AM130">
        <v>0.67812499999999998</v>
      </c>
      <c r="AN130">
        <v>0.52430600000000005</v>
      </c>
      <c r="AO130">
        <v>0.64257799999999998</v>
      </c>
      <c r="AP130">
        <v>0.58482100000000004</v>
      </c>
      <c r="AQ130">
        <v>0.50260400000000005</v>
      </c>
      <c r="AR130">
        <v>0.4375</v>
      </c>
      <c r="AS130">
        <v>0.47265600000000002</v>
      </c>
      <c r="AT130">
        <v>0.47916700000000001</v>
      </c>
      <c r="AU130">
        <v>0.53125</v>
      </c>
      <c r="AV130">
        <v>0.546875</v>
      </c>
    </row>
    <row r="131" spans="3:48" x14ac:dyDescent="0.3">
      <c r="C131" s="15"/>
      <c r="D131" s="14"/>
      <c r="E131" s="4"/>
      <c r="F131" s="3"/>
      <c r="G131" s="14"/>
      <c r="I131" s="51">
        <v>34.437999999999988</v>
      </c>
      <c r="J131" s="34">
        <v>1818</v>
      </c>
      <c r="K131" s="34">
        <v>1183</v>
      </c>
      <c r="L131" s="35">
        <v>999</v>
      </c>
      <c r="M131" s="35"/>
      <c r="N131" s="32">
        <f t="shared" si="26"/>
        <v>0.536770921386306</v>
      </c>
      <c r="O131" s="78">
        <f t="shared" si="27"/>
        <v>0.81981981981981977</v>
      </c>
      <c r="S131">
        <f>SUM(S122:S128)</f>
        <v>0</v>
      </c>
      <c r="T131">
        <f>SUM(T122:T128)</f>
        <v>1</v>
      </c>
      <c r="U131">
        <f>SUM(U122:U129)</f>
        <v>1</v>
      </c>
      <c r="AH131">
        <v>0.33229199999999998</v>
      </c>
      <c r="AI131">
        <v>0.45424100000000001</v>
      </c>
      <c r="AJ131">
        <v>0.76442299999999996</v>
      </c>
      <c r="AK131">
        <v>0.55989599999999995</v>
      </c>
      <c r="AL131">
        <v>0.75710200000000005</v>
      </c>
      <c r="AM131">
        <v>0.520312</v>
      </c>
      <c r="AN131">
        <v>0.72222200000000003</v>
      </c>
      <c r="AO131">
        <v>0.53515599999999997</v>
      </c>
      <c r="AP131">
        <v>0.75446400000000002</v>
      </c>
      <c r="AQ131">
        <v>0.69531200000000004</v>
      </c>
      <c r="AR131">
        <v>0.75312500000000004</v>
      </c>
      <c r="AS131">
        <v>0.546875</v>
      </c>
      <c r="AT131">
        <v>0.59375</v>
      </c>
      <c r="AU131">
        <v>0.91406200000000004</v>
      </c>
      <c r="AV131">
        <v>0.34375</v>
      </c>
    </row>
    <row r="132" spans="3:48" x14ac:dyDescent="0.3">
      <c r="C132" s="15"/>
      <c r="D132" s="14"/>
      <c r="E132" s="4"/>
      <c r="F132" s="3"/>
      <c r="G132" s="14"/>
      <c r="I132" s="51">
        <v>36.547000000000025</v>
      </c>
      <c r="J132" s="46">
        <v>1879</v>
      </c>
      <c r="K132" s="34">
        <v>1277</v>
      </c>
      <c r="L132" s="35">
        <v>1045</v>
      </c>
      <c r="M132" s="35"/>
      <c r="N132" s="32">
        <f t="shared" si="26"/>
        <v>0.47141738449490994</v>
      </c>
      <c r="O132" s="78">
        <f t="shared" si="27"/>
        <v>0.79808612440191384</v>
      </c>
      <c r="AH132">
        <v>0.43020799999999998</v>
      </c>
      <c r="AI132">
        <v>0.50669600000000004</v>
      </c>
      <c r="AJ132">
        <v>0.664663</v>
      </c>
      <c r="AK132">
        <v>0.60416700000000001</v>
      </c>
      <c r="AL132">
        <v>0.55539799999999995</v>
      </c>
      <c r="AM132">
        <v>1.04375</v>
      </c>
      <c r="AN132">
        <v>0.86458299999999999</v>
      </c>
      <c r="AO132">
        <v>0.671875</v>
      </c>
      <c r="AP132">
        <v>0.58035700000000001</v>
      </c>
      <c r="AQ132">
        <v>0.55729200000000001</v>
      </c>
      <c r="AR132">
        <v>0.53749999999999998</v>
      </c>
      <c r="AS132">
        <v>0.56640599999999997</v>
      </c>
      <c r="AT132">
        <v>0.609375</v>
      </c>
      <c r="AU132">
        <v>0.671875</v>
      </c>
      <c r="AV132">
        <v>0.734375</v>
      </c>
    </row>
    <row r="133" spans="3:48" x14ac:dyDescent="0.3">
      <c r="C133" s="15"/>
      <c r="D133" s="14"/>
      <c r="E133" s="4"/>
      <c r="F133" s="3"/>
      <c r="G133" s="14"/>
      <c r="I133" s="51">
        <v>42.531000000000006</v>
      </c>
      <c r="J133" s="34">
        <v>1904</v>
      </c>
      <c r="K133" s="34">
        <v>1278</v>
      </c>
      <c r="L133" s="35">
        <v>987</v>
      </c>
      <c r="M133" s="35"/>
      <c r="N133" s="32">
        <f t="shared" si="26"/>
        <v>0.48982785602503914</v>
      </c>
      <c r="O133" s="78">
        <f t="shared" si="27"/>
        <v>0.92907801418439717</v>
      </c>
      <c r="AH133">
        <v>0.45208300000000001</v>
      </c>
      <c r="AI133">
        <v>0.94419600000000004</v>
      </c>
      <c r="AJ133">
        <v>0.445913</v>
      </c>
      <c r="AK133">
        <v>0.51953099999999997</v>
      </c>
      <c r="AL133">
        <v>0.6875</v>
      </c>
      <c r="AM133">
        <v>0.67500000000000004</v>
      </c>
      <c r="AN133">
        <v>0.65625</v>
      </c>
      <c r="AO133">
        <v>0.68945299999999998</v>
      </c>
      <c r="AP133">
        <v>0.76785700000000001</v>
      </c>
      <c r="AQ133">
        <v>0.87239599999999995</v>
      </c>
      <c r="AR133">
        <v>0.875</v>
      </c>
      <c r="AS133">
        <v>0.59375</v>
      </c>
      <c r="AT133">
        <v>0.76041700000000001</v>
      </c>
      <c r="AU133">
        <v>0.86718799999999996</v>
      </c>
      <c r="AV133">
        <v>0.609375</v>
      </c>
    </row>
    <row r="134" spans="3:48" x14ac:dyDescent="0.3">
      <c r="C134" s="15"/>
      <c r="D134" s="14"/>
      <c r="E134" s="4"/>
      <c r="F134" s="3"/>
      <c r="G134" s="14"/>
      <c r="I134" s="51">
        <v>36.905999999999949</v>
      </c>
      <c r="J134" s="34">
        <v>1606</v>
      </c>
      <c r="K134" s="34">
        <v>1190</v>
      </c>
      <c r="L134" s="35">
        <v>1067</v>
      </c>
      <c r="M134" s="35"/>
      <c r="N134" s="32">
        <f t="shared" si="26"/>
        <v>0.34957983193277309</v>
      </c>
      <c r="O134" s="78">
        <f t="shared" si="27"/>
        <v>0.50515463917525771</v>
      </c>
      <c r="AH134">
        <v>0.38229200000000002</v>
      </c>
      <c r="AI134">
        <v>0.42857099999999998</v>
      </c>
      <c r="AJ134">
        <v>0.507212</v>
      </c>
      <c r="AK134">
        <v>0.53515599999999997</v>
      </c>
      <c r="AL134">
        <v>0.55539799999999995</v>
      </c>
      <c r="AM134">
        <v>0.88281200000000004</v>
      </c>
      <c r="AN134">
        <v>0.71180600000000005</v>
      </c>
      <c r="AO134">
        <v>0.59179700000000002</v>
      </c>
      <c r="AP134">
        <v>0.46205400000000002</v>
      </c>
      <c r="AQ134">
        <v>0.60416700000000001</v>
      </c>
      <c r="AR134">
        <v>0.52812499999999996</v>
      </c>
      <c r="AS134">
        <v>0.453125</v>
      </c>
      <c r="AT134">
        <v>0.33333299999999999</v>
      </c>
      <c r="AU134">
        <v>0.328125</v>
      </c>
      <c r="AV134">
        <v>0.40625</v>
      </c>
    </row>
    <row r="135" spans="3:48" x14ac:dyDescent="0.3">
      <c r="C135" s="15"/>
      <c r="D135" s="14"/>
      <c r="E135" s="4"/>
      <c r="F135" s="3"/>
      <c r="G135" s="14"/>
      <c r="I135" s="51">
        <v>41.5</v>
      </c>
      <c r="J135" s="34">
        <v>1880</v>
      </c>
      <c r="K135" s="34">
        <v>1385</v>
      </c>
      <c r="L135" s="35">
        <v>1057</v>
      </c>
      <c r="M135" s="35"/>
      <c r="N135" s="32">
        <f t="shared" si="26"/>
        <v>0.35740072202166068</v>
      </c>
      <c r="O135" s="78">
        <f t="shared" si="27"/>
        <v>0.77861873226111633</v>
      </c>
      <c r="AH135">
        <v>0.32500000000000001</v>
      </c>
      <c r="AI135">
        <v>1.0301340000000001</v>
      </c>
      <c r="AJ135">
        <v>0.49038500000000002</v>
      </c>
      <c r="AK135">
        <v>0.54036499999999998</v>
      </c>
      <c r="AL135">
        <v>0.319602</v>
      </c>
      <c r="AM135">
        <v>0.42499999999999999</v>
      </c>
      <c r="AN135">
        <v>0.50694399999999995</v>
      </c>
      <c r="AO135">
        <v>0.462891</v>
      </c>
      <c r="AP135">
        <v>0.43080400000000002</v>
      </c>
      <c r="AQ135">
        <v>0.65364599999999995</v>
      </c>
      <c r="AR135">
        <v>0.51249999999999996</v>
      </c>
      <c r="AS135">
        <v>0.609375</v>
      </c>
      <c r="AT135">
        <v>0.58854200000000001</v>
      </c>
      <c r="AU135">
        <v>1.078125</v>
      </c>
      <c r="AV135">
        <v>0.78125</v>
      </c>
    </row>
    <row r="136" spans="3:48" x14ac:dyDescent="0.3">
      <c r="C136" s="15"/>
      <c r="D136" s="14"/>
      <c r="E136" s="4"/>
      <c r="F136" s="3"/>
      <c r="G136" s="14"/>
      <c r="I136" s="51">
        <v>35.562999999999988</v>
      </c>
      <c r="J136" s="34">
        <v>1779</v>
      </c>
      <c r="K136" s="34">
        <v>1212</v>
      </c>
      <c r="L136" s="35">
        <v>1006</v>
      </c>
      <c r="M136" s="35"/>
      <c r="N136" s="32">
        <f t="shared" si="26"/>
        <v>0.46782178217821785</v>
      </c>
      <c r="O136" s="78">
        <f t="shared" si="27"/>
        <v>0.76838966202783299</v>
      </c>
      <c r="AH136">
        <v>0.238542</v>
      </c>
      <c r="AI136">
        <v>0.38169599999999998</v>
      </c>
      <c r="AJ136">
        <v>0.710337</v>
      </c>
      <c r="AK136">
        <v>0.56640599999999997</v>
      </c>
      <c r="AL136">
        <v>0.52556800000000004</v>
      </c>
      <c r="AM136">
        <v>0.57499999999999996</v>
      </c>
      <c r="AN136">
        <v>0.64930600000000005</v>
      </c>
      <c r="AO136">
        <v>0.54492200000000002</v>
      </c>
      <c r="AP136">
        <v>0.76116099999999998</v>
      </c>
      <c r="AQ136">
        <v>0.86718799999999996</v>
      </c>
      <c r="AR136">
        <v>0.53749999999999998</v>
      </c>
      <c r="AS136">
        <v>0.58593799999999996</v>
      </c>
      <c r="AT136">
        <v>0.5</v>
      </c>
      <c r="AU136">
        <v>0.484375</v>
      </c>
      <c r="AV136">
        <v>0.5</v>
      </c>
    </row>
    <row r="137" spans="3:48" x14ac:dyDescent="0.3">
      <c r="C137" s="15"/>
      <c r="D137" s="14"/>
      <c r="E137" s="4"/>
      <c r="F137" s="3"/>
      <c r="G137" s="14"/>
      <c r="I137" s="51">
        <v>34.139999999999986</v>
      </c>
      <c r="J137" s="34">
        <v>1880</v>
      </c>
      <c r="K137" s="34">
        <v>1232</v>
      </c>
      <c r="L137" s="35">
        <v>981</v>
      </c>
      <c r="M137" s="35"/>
      <c r="N137" s="32">
        <f t="shared" si="26"/>
        <v>0.52597402597402598</v>
      </c>
      <c r="O137" s="78">
        <f t="shared" si="27"/>
        <v>0.91641182466870541</v>
      </c>
      <c r="AH137">
        <v>0.39479199999999998</v>
      </c>
      <c r="AI137">
        <v>0.43861600000000001</v>
      </c>
      <c r="AJ137">
        <v>0.78725999999999996</v>
      </c>
      <c r="AK137">
        <v>0.64973999999999998</v>
      </c>
      <c r="AL137">
        <v>0.79545500000000002</v>
      </c>
      <c r="AM137">
        <v>0.62656299999999998</v>
      </c>
      <c r="AN137">
        <v>0.59027799999999997</v>
      </c>
      <c r="AO137">
        <v>0.66015599999999997</v>
      </c>
      <c r="AP137">
        <v>0.890625</v>
      </c>
      <c r="AQ137">
        <v>0.71093799999999996</v>
      </c>
      <c r="AR137">
        <v>0.85</v>
      </c>
      <c r="AS137">
        <v>0.59765599999999997</v>
      </c>
      <c r="AT137">
        <v>0.49479200000000001</v>
      </c>
      <c r="AU137">
        <v>0.57031200000000004</v>
      </c>
      <c r="AV137">
        <v>0.375</v>
      </c>
    </row>
    <row r="138" spans="3:48" x14ac:dyDescent="0.3">
      <c r="C138" s="15"/>
      <c r="D138" s="14"/>
      <c r="E138" s="4"/>
      <c r="F138" s="3"/>
      <c r="G138" s="14"/>
      <c r="I138" s="51">
        <v>32.641000000000076</v>
      </c>
      <c r="J138" s="34">
        <v>1779</v>
      </c>
      <c r="K138" s="34">
        <v>1237</v>
      </c>
      <c r="L138" s="35">
        <v>1006</v>
      </c>
      <c r="M138" s="35"/>
      <c r="N138" s="32">
        <f t="shared" si="26"/>
        <v>0.43815683104284558</v>
      </c>
      <c r="O138" s="78">
        <f t="shared" si="27"/>
        <v>0.76838966202783299</v>
      </c>
      <c r="AH138">
        <v>0.296875</v>
      </c>
      <c r="AI138">
        <v>0.39285700000000001</v>
      </c>
      <c r="AJ138">
        <v>0.60817299999999996</v>
      </c>
      <c r="AK138">
        <v>0.53515599999999997</v>
      </c>
      <c r="AL138">
        <v>0.52983000000000002</v>
      </c>
      <c r="AM138">
        <v>0.46562500000000001</v>
      </c>
      <c r="AN138">
        <v>0.59027799999999997</v>
      </c>
      <c r="AO138">
        <v>0.52734400000000003</v>
      </c>
      <c r="AP138">
        <v>0.48660700000000001</v>
      </c>
      <c r="AQ138">
        <v>0.58072900000000005</v>
      </c>
      <c r="AR138">
        <v>0.34062500000000001</v>
      </c>
      <c r="AS138">
        <v>0.4375</v>
      </c>
      <c r="AT138">
        <v>0.484375</v>
      </c>
      <c r="AU138">
        <v>0.52343799999999996</v>
      </c>
      <c r="AV138">
        <v>0.5</v>
      </c>
    </row>
    <row r="139" spans="3:48" x14ac:dyDescent="0.3">
      <c r="C139" s="15"/>
      <c r="D139" s="14"/>
      <c r="E139" s="4"/>
      <c r="F139" s="3"/>
      <c r="G139" s="14"/>
      <c r="I139" s="51">
        <v>38.327999999999975</v>
      </c>
      <c r="J139" s="34">
        <v>1788</v>
      </c>
      <c r="K139" s="34">
        <v>1159</v>
      </c>
      <c r="L139" s="35">
        <v>998</v>
      </c>
      <c r="M139" s="35"/>
      <c r="N139" s="32">
        <f t="shared" si="26"/>
        <v>0.54270923209663502</v>
      </c>
      <c r="O139" s="78">
        <f t="shared" si="27"/>
        <v>0.79158316633266534</v>
      </c>
      <c r="AH139">
        <v>0.33124999999999999</v>
      </c>
      <c r="AI139">
        <v>0.37723200000000001</v>
      </c>
      <c r="AJ139">
        <v>0.652644</v>
      </c>
      <c r="AK139">
        <v>1.0611980000000001</v>
      </c>
      <c r="AL139">
        <v>0.67045500000000002</v>
      </c>
      <c r="AM139">
        <v>0.61562499999999998</v>
      </c>
      <c r="AN139">
        <v>0.50173599999999996</v>
      </c>
      <c r="AO139">
        <v>0.70898399999999995</v>
      </c>
      <c r="AP139">
        <v>0.79241099999999998</v>
      </c>
      <c r="AQ139">
        <v>0.77604200000000001</v>
      </c>
      <c r="AR139">
        <v>0.734375</v>
      </c>
      <c r="AS139">
        <v>0.66015599999999997</v>
      </c>
      <c r="AT139">
        <v>1.203125</v>
      </c>
      <c r="AU139">
        <v>0.65625</v>
      </c>
      <c r="AV139">
        <v>0.71875</v>
      </c>
    </row>
    <row r="140" spans="3:48" x14ac:dyDescent="0.3">
      <c r="C140" s="15"/>
      <c r="D140" s="14"/>
      <c r="E140" s="4"/>
      <c r="F140" s="3"/>
      <c r="G140" s="14"/>
      <c r="I140" s="51">
        <v>32.187000000000012</v>
      </c>
      <c r="J140" s="34">
        <v>1659</v>
      </c>
      <c r="K140" s="34">
        <v>1274</v>
      </c>
      <c r="L140" s="35">
        <v>1014</v>
      </c>
      <c r="M140" s="35"/>
      <c r="N140" s="32">
        <f t="shared" si="26"/>
        <v>0.30219780219780218</v>
      </c>
      <c r="O140" s="78">
        <f t="shared" si="27"/>
        <v>0.63609467455621305</v>
      </c>
      <c r="AH140">
        <v>0.341667</v>
      </c>
      <c r="AI140">
        <v>0.41182999999999997</v>
      </c>
      <c r="AJ140">
        <v>0.57211500000000004</v>
      </c>
      <c r="AK140">
        <v>0.65364599999999995</v>
      </c>
      <c r="AL140">
        <v>0.61789799999999995</v>
      </c>
      <c r="AM140">
        <v>0.589063</v>
      </c>
      <c r="AN140">
        <v>0.64409700000000003</v>
      </c>
      <c r="AO140">
        <v>0.40820299999999998</v>
      </c>
      <c r="AP140">
        <v>0.42857099999999998</v>
      </c>
      <c r="AQ140">
        <v>0.72916700000000001</v>
      </c>
      <c r="AR140">
        <v>0.41562500000000002</v>
      </c>
      <c r="AS140">
        <v>0.35156199999999999</v>
      </c>
      <c r="AT140">
        <v>0.46875</v>
      </c>
      <c r="AU140">
        <v>0.53906200000000004</v>
      </c>
      <c r="AV140">
        <v>3.125E-2</v>
      </c>
    </row>
    <row r="141" spans="3:48" x14ac:dyDescent="0.3">
      <c r="C141" s="15"/>
      <c r="D141" s="14"/>
      <c r="E141" s="4"/>
      <c r="F141" s="3"/>
      <c r="G141" s="14"/>
      <c r="I141" s="51">
        <v>34.875</v>
      </c>
      <c r="J141" s="34">
        <v>1728</v>
      </c>
      <c r="K141" s="34">
        <v>1256</v>
      </c>
      <c r="L141" s="35">
        <v>1018</v>
      </c>
      <c r="M141" s="35"/>
      <c r="N141" s="32">
        <f t="shared" si="26"/>
        <v>0.37579617834394907</v>
      </c>
      <c r="O141" s="78">
        <f t="shared" si="27"/>
        <v>0.69744597249508844</v>
      </c>
      <c r="AH141">
        <v>0.32500000000000001</v>
      </c>
      <c r="AI141">
        <v>0.55803599999999998</v>
      </c>
      <c r="AJ141">
        <v>0.399038</v>
      </c>
      <c r="AK141">
        <v>0.53255200000000003</v>
      </c>
      <c r="AL141">
        <v>0.546875</v>
      </c>
      <c r="AM141">
        <v>0.56874999999999998</v>
      </c>
      <c r="AN141">
        <v>0.57465299999999997</v>
      </c>
      <c r="AO141">
        <v>0.53515599999999997</v>
      </c>
      <c r="AP141">
        <v>0.57366099999999998</v>
      </c>
      <c r="AQ141">
        <v>0.497396</v>
      </c>
      <c r="AR141">
        <v>0.59062499999999996</v>
      </c>
      <c r="AS141">
        <v>0.66796900000000003</v>
      </c>
      <c r="AT141">
        <v>0.5625</v>
      </c>
      <c r="AU141">
        <v>0.58593799999999996</v>
      </c>
      <c r="AV141">
        <v>0.5</v>
      </c>
    </row>
    <row r="142" spans="3:48" x14ac:dyDescent="0.3">
      <c r="C142" s="15"/>
      <c r="D142" s="14"/>
      <c r="E142" s="4"/>
      <c r="F142" s="3"/>
      <c r="G142" s="14"/>
      <c r="I142" s="51">
        <v>34.860000000000014</v>
      </c>
      <c r="J142" s="34">
        <v>1821</v>
      </c>
      <c r="K142" s="34">
        <v>1231</v>
      </c>
      <c r="L142" s="35">
        <v>1001</v>
      </c>
      <c r="M142" s="35"/>
      <c r="N142" s="32">
        <f t="shared" si="26"/>
        <v>0.479285134037368</v>
      </c>
      <c r="O142" s="78">
        <f t="shared" si="27"/>
        <v>0.8191808191808192</v>
      </c>
      <c r="AH142">
        <v>0.392708</v>
      </c>
      <c r="AI142">
        <v>0.56361600000000001</v>
      </c>
      <c r="AJ142">
        <v>0.762019</v>
      </c>
      <c r="AK142">
        <v>0.66927099999999995</v>
      </c>
      <c r="AL142">
        <v>0.67471599999999998</v>
      </c>
      <c r="AM142">
        <v>0.692187</v>
      </c>
      <c r="AN142">
        <v>0.85416700000000001</v>
      </c>
      <c r="AO142">
        <v>0.66992200000000002</v>
      </c>
      <c r="AP142">
        <v>0.65848200000000001</v>
      </c>
      <c r="AQ142">
        <v>0.69531200000000004</v>
      </c>
      <c r="AR142">
        <v>0.828125</v>
      </c>
      <c r="AS142">
        <v>0.94140599999999997</v>
      </c>
      <c r="AT142">
        <v>0.58854200000000001</v>
      </c>
      <c r="AU142">
        <v>0.53125</v>
      </c>
      <c r="AV142">
        <v>0.78125</v>
      </c>
    </row>
    <row r="143" spans="3:48" x14ac:dyDescent="0.3">
      <c r="C143" s="15"/>
      <c r="D143" s="14"/>
      <c r="E143" s="4"/>
      <c r="F143" s="3"/>
      <c r="G143" s="14"/>
      <c r="I143" s="51">
        <v>33.733999999999924</v>
      </c>
      <c r="J143" s="34">
        <v>1724</v>
      </c>
      <c r="K143" s="34">
        <v>1205</v>
      </c>
      <c r="L143" s="35">
        <v>1072</v>
      </c>
      <c r="M143" s="35"/>
      <c r="N143" s="32">
        <f t="shared" si="26"/>
        <v>0.43070539419087139</v>
      </c>
      <c r="O143" s="78">
        <f t="shared" si="27"/>
        <v>0.60820895522388063</v>
      </c>
      <c r="AH143">
        <v>0.38333299999999998</v>
      </c>
      <c r="AI143">
        <v>0.46428599999999998</v>
      </c>
      <c r="AJ143">
        <v>0.62379799999999996</v>
      </c>
      <c r="AK143">
        <v>0.55729200000000001</v>
      </c>
      <c r="AL143">
        <v>0.57670500000000002</v>
      </c>
      <c r="AM143">
        <v>0.73593799999999998</v>
      </c>
      <c r="AN143">
        <v>0.75694399999999995</v>
      </c>
      <c r="AO143">
        <v>0.55664100000000005</v>
      </c>
      <c r="AP143">
        <v>0.88392899999999996</v>
      </c>
      <c r="AQ143">
        <v>0.60156200000000004</v>
      </c>
      <c r="AR143">
        <v>0.52812499999999996</v>
      </c>
      <c r="AS143">
        <v>0.390625</v>
      </c>
      <c r="AT143">
        <v>0.49479200000000001</v>
      </c>
      <c r="AU143">
        <v>0.46093800000000001</v>
      </c>
      <c r="AV143">
        <v>0.5625</v>
      </c>
    </row>
    <row r="144" spans="3:48" x14ac:dyDescent="0.3">
      <c r="C144" s="15"/>
      <c r="D144" s="14"/>
      <c r="E144" s="4"/>
      <c r="F144" s="3"/>
      <c r="G144" s="14"/>
      <c r="I144" s="51">
        <v>36.875</v>
      </c>
      <c r="J144" s="34">
        <v>1640</v>
      </c>
      <c r="K144" s="34">
        <v>1330</v>
      </c>
      <c r="L144" s="35">
        <v>998</v>
      </c>
      <c r="M144" s="35"/>
      <c r="N144" s="32">
        <f t="shared" si="26"/>
        <v>0.23308270676691728</v>
      </c>
      <c r="O144" s="78">
        <f t="shared" si="27"/>
        <v>0.64328657314629256</v>
      </c>
      <c r="AH144">
        <v>0.4</v>
      </c>
      <c r="AI144">
        <v>0.67857100000000004</v>
      </c>
      <c r="AJ144">
        <v>0.56490399999999996</v>
      </c>
      <c r="AK144">
        <v>0.77343799999999996</v>
      </c>
      <c r="AL144">
        <v>0.60795500000000002</v>
      </c>
      <c r="AM144">
        <v>0.48906300000000003</v>
      </c>
      <c r="AN144">
        <v>0.64930600000000005</v>
      </c>
      <c r="AO144">
        <v>0.68164100000000005</v>
      </c>
      <c r="AP144">
        <v>0.71428599999999998</v>
      </c>
      <c r="AQ144">
        <v>0.54947900000000005</v>
      </c>
      <c r="AR144">
        <v>0.47812500000000002</v>
      </c>
      <c r="AS144">
        <v>0.66406200000000004</v>
      </c>
      <c r="AT144">
        <v>0.5</v>
      </c>
      <c r="AU144">
        <v>0.33593800000000001</v>
      </c>
      <c r="AV144">
        <v>0.265625</v>
      </c>
    </row>
    <row r="145" spans="3:48" x14ac:dyDescent="0.3">
      <c r="C145" s="15"/>
      <c r="D145" s="14"/>
      <c r="E145" s="4"/>
      <c r="F145" s="3"/>
      <c r="G145" s="14"/>
      <c r="I145" s="51">
        <v>32.406000000000063</v>
      </c>
      <c r="J145" s="34">
        <v>1768</v>
      </c>
      <c r="K145" s="34">
        <v>1171</v>
      </c>
      <c r="L145" s="35">
        <v>1038</v>
      </c>
      <c r="M145" s="35"/>
      <c r="N145" s="32">
        <f t="shared" si="26"/>
        <v>0.50982066609735266</v>
      </c>
      <c r="O145" s="78">
        <f t="shared" si="27"/>
        <v>0.7032755298651252</v>
      </c>
      <c r="AH145">
        <v>0.26666699999999999</v>
      </c>
      <c r="AI145">
        <v>0.44307999999999997</v>
      </c>
      <c r="AJ145">
        <v>0.46875</v>
      </c>
      <c r="AK145">
        <v>0.45442700000000003</v>
      </c>
      <c r="AL145">
        <v>0.41761399999999999</v>
      </c>
      <c r="AM145">
        <v>0.38437500000000002</v>
      </c>
      <c r="AN145">
        <v>0.45486100000000002</v>
      </c>
      <c r="AO145">
        <v>0.6875</v>
      </c>
      <c r="AP145">
        <v>0.47321400000000002</v>
      </c>
      <c r="AQ145">
        <v>0.52864599999999995</v>
      </c>
      <c r="AR145">
        <v>0.546875</v>
      </c>
      <c r="AS145">
        <v>0.5625</v>
      </c>
      <c r="AT145">
        <v>0.49479200000000001</v>
      </c>
      <c r="AU145">
        <v>0.53125</v>
      </c>
      <c r="AV145">
        <v>0.359375</v>
      </c>
    </row>
    <row r="146" spans="3:48" x14ac:dyDescent="0.3">
      <c r="C146" s="15"/>
      <c r="D146" s="14"/>
      <c r="E146" s="4"/>
      <c r="F146" s="3"/>
      <c r="G146" s="14"/>
      <c r="I146" s="51">
        <v>32.797000000000025</v>
      </c>
      <c r="J146" s="34">
        <v>1785</v>
      </c>
      <c r="K146" s="34">
        <v>1187</v>
      </c>
      <c r="L146" s="35">
        <v>1021</v>
      </c>
      <c r="M146" s="35"/>
      <c r="N146" s="32">
        <f t="shared" si="26"/>
        <v>0.50379106992417855</v>
      </c>
      <c r="O146" s="78">
        <f t="shared" si="27"/>
        <v>0.74828599412340846</v>
      </c>
      <c r="AH146">
        <v>0.35520800000000002</v>
      </c>
      <c r="AI146">
        <v>0.40178599999999998</v>
      </c>
      <c r="AJ146">
        <v>0.53365399999999996</v>
      </c>
      <c r="AK146">
        <v>0.72656200000000004</v>
      </c>
      <c r="AL146">
        <v>0.6875</v>
      </c>
      <c r="AM146">
        <v>0.47656199999999999</v>
      </c>
      <c r="AN146">
        <v>0.578125</v>
      </c>
      <c r="AO146">
        <v>0.60156200000000004</v>
      </c>
      <c r="AP146">
        <v>0.60044600000000004</v>
      </c>
      <c r="AQ146">
        <v>0.52604200000000001</v>
      </c>
      <c r="AR146">
        <v>0.71562499999999996</v>
      </c>
      <c r="AS146">
        <v>0.77343799999999996</v>
      </c>
      <c r="AT146">
        <v>1.1770830000000001</v>
      </c>
      <c r="AU146">
        <v>0.6875</v>
      </c>
      <c r="AV146">
        <v>0.109375</v>
      </c>
    </row>
    <row r="147" spans="3:48" x14ac:dyDescent="0.3">
      <c r="C147" s="15"/>
      <c r="D147" s="14"/>
      <c r="E147" s="4"/>
      <c r="F147" s="3"/>
      <c r="G147" s="14"/>
      <c r="I147" s="51">
        <v>36.562999999999988</v>
      </c>
      <c r="J147" s="34">
        <v>1823</v>
      </c>
      <c r="K147" s="34">
        <v>1238</v>
      </c>
      <c r="L147" s="35">
        <v>1089</v>
      </c>
      <c r="M147" s="35"/>
      <c r="N147" s="32">
        <f t="shared" si="26"/>
        <v>0.47253634894991925</v>
      </c>
      <c r="O147" s="78">
        <f t="shared" si="27"/>
        <v>0.67401285583103765</v>
      </c>
      <c r="AH147">
        <v>0.43645800000000001</v>
      </c>
      <c r="AI147">
        <v>0.36718800000000001</v>
      </c>
      <c r="AJ147">
        <v>0.46875</v>
      </c>
      <c r="AK147">
        <v>0.55468799999999996</v>
      </c>
      <c r="AL147">
        <v>0.51278400000000002</v>
      </c>
      <c r="AM147">
        <v>0.67812499999999998</v>
      </c>
      <c r="AN147">
        <v>0.63368100000000005</v>
      </c>
      <c r="AO147">
        <v>0.61523399999999995</v>
      </c>
      <c r="AP147">
        <v>0.57366099999999998</v>
      </c>
      <c r="AQ147">
        <v>0.58333299999999999</v>
      </c>
      <c r="AR147">
        <v>0.58125000000000004</v>
      </c>
      <c r="AS147">
        <v>0.65625</v>
      </c>
      <c r="AT147">
        <v>0.85416700000000001</v>
      </c>
      <c r="AU147">
        <v>0.75</v>
      </c>
      <c r="AV147">
        <v>0.4375</v>
      </c>
    </row>
    <row r="148" spans="3:48" x14ac:dyDescent="0.3">
      <c r="C148" s="15"/>
      <c r="D148" s="14"/>
      <c r="E148" s="4"/>
      <c r="F148" s="3"/>
      <c r="G148" s="14"/>
      <c r="I148" s="51">
        <v>34.312000000000012</v>
      </c>
      <c r="J148" s="34">
        <v>1688</v>
      </c>
      <c r="K148" s="34">
        <v>1161</v>
      </c>
      <c r="L148" s="35">
        <v>1050</v>
      </c>
      <c r="M148" s="35"/>
      <c r="N148" s="32">
        <f t="shared" si="26"/>
        <v>0.45391903531438416</v>
      </c>
      <c r="O148" s="78">
        <f t="shared" si="27"/>
        <v>0.60761904761904761</v>
      </c>
      <c r="AH148">
        <v>0.30937500000000001</v>
      </c>
      <c r="AI148">
        <v>0.46093800000000001</v>
      </c>
      <c r="AJ148">
        <v>0.45552900000000002</v>
      </c>
      <c r="AK148">
        <v>0.515625</v>
      </c>
      <c r="AL148">
        <v>0.46733000000000002</v>
      </c>
      <c r="AM148">
        <v>0.41249999999999998</v>
      </c>
      <c r="AN148">
        <v>0.53645799999999999</v>
      </c>
      <c r="AO148">
        <v>0.609375</v>
      </c>
      <c r="AP148">
        <v>0.51339299999999999</v>
      </c>
      <c r="AQ148">
        <v>0.61718799999999996</v>
      </c>
      <c r="AR148">
        <v>0.64375000000000004</v>
      </c>
      <c r="AS148">
        <v>0.64843799999999996</v>
      </c>
      <c r="AT148">
        <v>0.59895799999999999</v>
      </c>
      <c r="AU148">
        <v>0.83593799999999996</v>
      </c>
      <c r="AV148">
        <v>9.375E-2</v>
      </c>
    </row>
    <row r="149" spans="3:48" x14ac:dyDescent="0.3">
      <c r="C149" s="15"/>
      <c r="D149" s="14"/>
      <c r="E149" s="4"/>
      <c r="F149" s="3"/>
      <c r="G149" s="14"/>
      <c r="I149" s="51">
        <v>35.860000000000014</v>
      </c>
      <c r="J149" s="34">
        <v>1711</v>
      </c>
      <c r="K149" s="34">
        <v>1225</v>
      </c>
      <c r="L149" s="35">
        <v>1025</v>
      </c>
      <c r="M149" s="35"/>
      <c r="N149" s="32">
        <f t="shared" si="26"/>
        <v>0.396734693877551</v>
      </c>
      <c r="O149" s="78">
        <f t="shared" si="27"/>
        <v>0.66926829268292687</v>
      </c>
      <c r="AH149">
        <v>0.31666699999999998</v>
      </c>
      <c r="AI149">
        <v>0.47767900000000002</v>
      </c>
      <c r="AJ149">
        <v>0.59375</v>
      </c>
      <c r="AK149">
        <v>0.45442700000000003</v>
      </c>
      <c r="AL149">
        <v>0.62215900000000002</v>
      </c>
      <c r="AM149">
        <v>0.66406200000000004</v>
      </c>
      <c r="AN149">
        <v>0.48611100000000002</v>
      </c>
      <c r="AO149">
        <v>0.60742200000000002</v>
      </c>
      <c r="AP149">
        <v>0.66741099999999998</v>
      </c>
      <c r="AQ149">
        <v>0.79166700000000001</v>
      </c>
      <c r="AR149">
        <v>0.75312500000000004</v>
      </c>
      <c r="AS149">
        <v>0.734375</v>
      </c>
      <c r="AT149">
        <v>0.55208299999999999</v>
      </c>
      <c r="AU149">
        <v>0.42968800000000001</v>
      </c>
      <c r="AV149">
        <v>0.5625</v>
      </c>
    </row>
    <row r="150" spans="3:48" ht="15" thickBot="1" x14ac:dyDescent="0.35">
      <c r="C150" s="16"/>
      <c r="D150" s="17"/>
      <c r="E150" s="10"/>
      <c r="F150" s="11"/>
      <c r="G150" s="17"/>
      <c r="H150" s="38"/>
      <c r="I150" s="53">
        <v>33.077999999999975</v>
      </c>
      <c r="J150" s="36">
        <v>1952</v>
      </c>
      <c r="K150" s="36">
        <v>1241</v>
      </c>
      <c r="L150" s="37">
        <v>1031</v>
      </c>
      <c r="M150" s="37"/>
      <c r="N150" s="32">
        <f t="shared" si="26"/>
        <v>0.57292506043513292</v>
      </c>
      <c r="O150" s="78">
        <f t="shared" si="27"/>
        <v>0.89330746847720655</v>
      </c>
      <c r="AH150">
        <v>0.37604199999999999</v>
      </c>
      <c r="AI150">
        <v>0.61049100000000001</v>
      </c>
      <c r="AJ150">
        <v>0.387019</v>
      </c>
      <c r="AK150">
        <v>0.515625</v>
      </c>
      <c r="AL150">
        <v>0.67897700000000005</v>
      </c>
      <c r="AM150">
        <v>0.64843799999999996</v>
      </c>
      <c r="AN150">
        <v>0.76388900000000004</v>
      </c>
      <c r="AO150">
        <v>0.74023399999999995</v>
      </c>
      <c r="AP150">
        <v>0.55133900000000002</v>
      </c>
      <c r="AQ150">
        <v>0.55729200000000001</v>
      </c>
      <c r="AR150">
        <v>0.59375</v>
      </c>
      <c r="AS150">
        <v>0.50781200000000004</v>
      </c>
      <c r="AT150">
        <v>0.40625</v>
      </c>
      <c r="AU150">
        <v>0.46093800000000001</v>
      </c>
      <c r="AV150">
        <v>0.390625</v>
      </c>
    </row>
    <row r="152" spans="3:48" x14ac:dyDescent="0.3">
      <c r="Q152" s="44" t="s">
        <v>21</v>
      </c>
      <c r="R152">
        <v>0.05</v>
      </c>
      <c r="AH152">
        <f>AVERAGE(AH121:AH150)</f>
        <v>0.35201389999999999</v>
      </c>
      <c r="AI152">
        <f t="shared" ref="AI152:AV152" si="35">AVERAGE(AI121:AI150)</f>
        <v>0.48950886666666654</v>
      </c>
      <c r="AJ152">
        <f t="shared" si="35"/>
        <v>0.53597753333333342</v>
      </c>
      <c r="AK152">
        <f t="shared" si="35"/>
        <v>0.5739584000000002</v>
      </c>
      <c r="AL152">
        <f t="shared" si="35"/>
        <v>0.58101340000000001</v>
      </c>
      <c r="AM152">
        <f t="shared" si="35"/>
        <v>0.58369796666666673</v>
      </c>
      <c r="AN152">
        <f t="shared" si="35"/>
        <v>0.61238429999999999</v>
      </c>
      <c r="AO152">
        <f t="shared" si="35"/>
        <v>0.59348960000000006</v>
      </c>
      <c r="AP152">
        <f t="shared" si="35"/>
        <v>0.6206845333333334</v>
      </c>
      <c r="AQ152">
        <f t="shared" si="35"/>
        <v>0.66736116666666656</v>
      </c>
      <c r="AR152">
        <f t="shared" si="35"/>
        <v>0.60604166666666659</v>
      </c>
      <c r="AS152">
        <f t="shared" si="35"/>
        <v>0.60299476666666674</v>
      </c>
      <c r="AT152">
        <f t="shared" si="35"/>
        <v>0.61336810000000008</v>
      </c>
      <c r="AU152">
        <f t="shared" si="35"/>
        <v>0.59401049999999989</v>
      </c>
      <c r="AV152">
        <f t="shared" si="35"/>
        <v>0.47604166666666664</v>
      </c>
    </row>
    <row r="153" spans="3:48" x14ac:dyDescent="0.3">
      <c r="C153" t="e">
        <f>AVERAGE(C121:C150)</f>
        <v>#DIV/0!</v>
      </c>
      <c r="I153">
        <f>AVERAGE(I121:I150)</f>
        <v>34.956533333333333</v>
      </c>
      <c r="J153" t="s">
        <v>17</v>
      </c>
      <c r="N153">
        <f>AVERAGE(N121:N150)</f>
        <v>0.43364274333399117</v>
      </c>
      <c r="O153">
        <f>AVERAGE(O121:O150)</f>
        <v>0.72315634977843646</v>
      </c>
      <c r="P153" t="s">
        <v>26</v>
      </c>
      <c r="Q153" s="44" t="s">
        <v>19</v>
      </c>
      <c r="R153" t="e">
        <f>_xlfn.T.TEST(#REF!,I121:I150,1,3)</f>
        <v>#REF!</v>
      </c>
      <c r="S153" s="121" t="s">
        <v>39</v>
      </c>
      <c r="T153" s="121"/>
      <c r="U153" s="121"/>
      <c r="V153" s="121"/>
      <c r="W153" s="121"/>
      <c r="X153" t="s">
        <v>24</v>
      </c>
      <c r="Y153" s="121" t="s">
        <v>23</v>
      </c>
      <c r="Z153" s="121"/>
      <c r="AA153" s="121"/>
      <c r="AB153" s="121"/>
      <c r="AC153" s="121"/>
      <c r="AD153" s="121"/>
      <c r="AE153" s="121"/>
    </row>
    <row r="154" spans="3:48" x14ac:dyDescent="0.3">
      <c r="I154">
        <f>_xlfn.STDEV.S(I121:I150)</f>
        <v>3.6454599230515461</v>
      </c>
      <c r="J154" s="44">
        <f>I154/I153</f>
        <v>0.10428551047352749</v>
      </c>
      <c r="Q154" s="44"/>
      <c r="S154" s="121"/>
      <c r="T154" s="121"/>
      <c r="U154" s="121"/>
      <c r="V154" s="121"/>
      <c r="W154" s="121"/>
      <c r="Y154" s="121"/>
      <c r="Z154" s="121"/>
      <c r="AA154" s="121"/>
      <c r="AB154" s="121"/>
      <c r="AC154" s="121"/>
      <c r="AD154" s="121"/>
      <c r="AE154" s="121"/>
    </row>
    <row r="176" spans="3:4" ht="15" thickBot="1" x14ac:dyDescent="0.35">
      <c r="C176" s="44" t="s">
        <v>88</v>
      </c>
      <c r="D176" s="44" t="s">
        <v>89</v>
      </c>
    </row>
    <row r="177" spans="3:43" x14ac:dyDescent="0.3">
      <c r="C177" s="27" t="s">
        <v>3</v>
      </c>
      <c r="D177" s="28"/>
      <c r="E177" s="28"/>
      <c r="F177" s="28"/>
      <c r="G177" s="28"/>
      <c r="H177" s="28"/>
      <c r="I177" s="5" t="s">
        <v>12</v>
      </c>
      <c r="J177" s="22"/>
      <c r="K177" s="22"/>
      <c r="L177" s="22"/>
      <c r="M177" s="22"/>
      <c r="N177" s="22"/>
      <c r="O177" s="6"/>
    </row>
    <row r="178" spans="3:43" x14ac:dyDescent="0.3">
      <c r="C178" s="15" t="s">
        <v>4</v>
      </c>
      <c r="D178" s="14" t="s">
        <v>0</v>
      </c>
      <c r="E178" s="14" t="s">
        <v>7</v>
      </c>
      <c r="F178" s="3" t="s">
        <v>8</v>
      </c>
      <c r="G178" s="13" t="s">
        <v>9</v>
      </c>
      <c r="H178" s="55" t="s">
        <v>10</v>
      </c>
      <c r="I178" s="71" t="s">
        <v>4</v>
      </c>
      <c r="J178" s="48" t="s">
        <v>0</v>
      </c>
      <c r="K178" s="48" t="s">
        <v>7</v>
      </c>
      <c r="L178" s="55" t="s">
        <v>8</v>
      </c>
      <c r="M178" s="48" t="s">
        <v>9</v>
      </c>
      <c r="N178" s="1" t="s">
        <v>10</v>
      </c>
      <c r="O178" s="69" t="s">
        <v>18</v>
      </c>
      <c r="Q178" t="s">
        <v>15</v>
      </c>
      <c r="R178">
        <f>SQRT(29)</f>
        <v>5.3851648071345037</v>
      </c>
    </row>
    <row r="179" spans="3:43" ht="15" thickBot="1" x14ac:dyDescent="0.35">
      <c r="C179" s="20"/>
      <c r="D179" s="13"/>
      <c r="E179" s="2"/>
      <c r="F179" s="1"/>
      <c r="G179" s="13"/>
      <c r="I179" s="49">
        <v>32.875</v>
      </c>
      <c r="J179" s="32">
        <v>1919</v>
      </c>
      <c r="K179" s="32">
        <v>1595</v>
      </c>
      <c r="L179" s="33">
        <v>1595</v>
      </c>
      <c r="M179" s="33"/>
      <c r="N179" s="32">
        <f>(J179-K179)/K179</f>
        <v>0.20313479623824451</v>
      </c>
      <c r="O179" s="78">
        <f>(J179-L179)/L179</f>
        <v>0.20313479623824451</v>
      </c>
      <c r="S179" t="s">
        <v>16</v>
      </c>
      <c r="T179" t="s">
        <v>44</v>
      </c>
      <c r="U179" t="s">
        <v>8</v>
      </c>
    </row>
    <row r="180" spans="3:43" ht="15" thickBot="1" x14ac:dyDescent="0.35">
      <c r="C180" s="15"/>
      <c r="D180" s="14"/>
      <c r="E180" s="4"/>
      <c r="F180" s="3"/>
      <c r="G180" s="14"/>
      <c r="I180" s="51">
        <v>47.828000000000003</v>
      </c>
      <c r="J180" s="34">
        <v>2110</v>
      </c>
      <c r="K180" s="34">
        <v>1635</v>
      </c>
      <c r="L180" s="35">
        <v>1635</v>
      </c>
      <c r="M180" s="35"/>
      <c r="N180" s="32">
        <f t="shared" ref="N180:N208" si="36">(J180-K180)/K180</f>
        <v>0.29051987767584098</v>
      </c>
      <c r="O180" s="78">
        <f t="shared" ref="O180:O208" si="37">(J180-L180)/L180</f>
        <v>0.29051987767584098</v>
      </c>
      <c r="Q180" s="5">
        <v>0</v>
      </c>
      <c r="R180" s="22">
        <v>0.05</v>
      </c>
      <c r="S180" s="59">
        <f>COUNTIFS($M$62:$M$91,"&lt;"&amp;R180,$M$62:$M$91,"&gt;="&amp;Q180)/30</f>
        <v>0</v>
      </c>
      <c r="T180" s="56">
        <f>COUNTIFS($N$179:$N$208,"&lt;"&amp;R180,$N$179:$N$208,"&gt;="&amp;Q180)/30</f>
        <v>0</v>
      </c>
      <c r="U180" s="62">
        <f>COUNTIFS($O$179:$O$208,"&lt;"&amp;R180,$O$179:$O$208,"&gt;="&amp;Q180)/30</f>
        <v>0</v>
      </c>
      <c r="V180" s="6" t="str">
        <f>_xlfn.CONCAT(TEXT(Q180,"0.00"),"-",TEXT(R180,"0.00"))</f>
        <v>0.00-0.05</v>
      </c>
      <c r="AI180">
        <v>6.9444000000000006E-2</v>
      </c>
      <c r="AJ180">
        <v>0.5</v>
      </c>
      <c r="AK180">
        <v>1.381696</v>
      </c>
      <c r="AL180">
        <v>2.9713539999999998</v>
      </c>
      <c r="AM180">
        <v>4.7937500000000002</v>
      </c>
      <c r="AN180">
        <v>6.875</v>
      </c>
      <c r="AO180">
        <v>5.234375</v>
      </c>
      <c r="AP180">
        <v>3.7578119999999999</v>
      </c>
      <c r="AQ180">
        <v>3.40625</v>
      </c>
    </row>
    <row r="181" spans="3:43" ht="15" thickBot="1" x14ac:dyDescent="0.35">
      <c r="C181" s="15"/>
      <c r="D181" s="14"/>
      <c r="E181" s="4"/>
      <c r="F181" s="3"/>
      <c r="G181" s="14"/>
      <c r="I181" s="51">
        <v>32.078000000000003</v>
      </c>
      <c r="J181" s="34">
        <v>2094</v>
      </c>
      <c r="K181" s="34">
        <v>1644</v>
      </c>
      <c r="L181" s="35">
        <v>1644</v>
      </c>
      <c r="M181" s="35"/>
      <c r="N181" s="32">
        <f t="shared" si="36"/>
        <v>0.27372262773722628</v>
      </c>
      <c r="O181" s="78">
        <f t="shared" si="37"/>
        <v>0.27372262773722628</v>
      </c>
      <c r="Q181" s="7">
        <f t="shared" ref="Q181:Q187" si="38">R180</f>
        <v>0.05</v>
      </c>
      <c r="R181">
        <f>Q181+0.05</f>
        <v>0.1</v>
      </c>
      <c r="S181" s="60">
        <f t="shared" ref="S181:S187" si="39">COUNTIFS($M$62:$M$91,"&lt;"&amp;R181,$M$62:$M$91,"&gt;="&amp;Q181)/30</f>
        <v>0</v>
      </c>
      <c r="T181" s="56">
        <f t="shared" ref="T181:T187" si="40">COUNTIFS($N$179:$N$208,"&lt;"&amp;R181,$N$179:$N$208,"&gt;="&amp;Q181)/30</f>
        <v>0</v>
      </c>
      <c r="U181" s="62">
        <f t="shared" ref="U181:U187" si="41">COUNTIFS($O$179:$O$208,"&lt;"&amp;R181,$O$179:$O$208,"&gt;="&amp;Q181)/30</f>
        <v>0</v>
      </c>
      <c r="V181" s="8" t="str">
        <f t="shared" ref="V181:V187" si="42">_xlfn.CONCAT(TEXT(Q181,"0.00"),"-",TEXT(R181,"0.00"))</f>
        <v>0.05-0.10</v>
      </c>
      <c r="AI181">
        <v>8.8541999999999996E-2</v>
      </c>
      <c r="AJ181">
        <v>0.77734400000000003</v>
      </c>
      <c r="AK181">
        <v>3.979911</v>
      </c>
      <c r="AL181">
        <v>9.7890619999999995</v>
      </c>
      <c r="AM181">
        <v>27.853124999999999</v>
      </c>
      <c r="AN181">
        <v>6.0507809999999997</v>
      </c>
      <c r="AO181">
        <v>4.2135420000000003</v>
      </c>
      <c r="AP181">
        <v>6.734375</v>
      </c>
      <c r="AQ181">
        <v>7.9375</v>
      </c>
    </row>
    <row r="182" spans="3:43" ht="15" thickBot="1" x14ac:dyDescent="0.35">
      <c r="C182" s="15"/>
      <c r="D182" s="14"/>
      <c r="E182" s="4"/>
      <c r="F182" s="3"/>
      <c r="G182" s="14"/>
      <c r="I182" s="51">
        <v>32.046999999999997</v>
      </c>
      <c r="J182" s="34">
        <v>2781</v>
      </c>
      <c r="K182" s="34">
        <v>1607</v>
      </c>
      <c r="L182" s="35">
        <v>1590</v>
      </c>
      <c r="M182" s="35"/>
      <c r="N182" s="32">
        <f t="shared" si="36"/>
        <v>0.73055382700684501</v>
      </c>
      <c r="O182" s="78">
        <f t="shared" si="37"/>
        <v>0.74905660377358485</v>
      </c>
      <c r="Q182" s="7">
        <f t="shared" si="38"/>
        <v>0.1</v>
      </c>
      <c r="R182">
        <f t="shared" ref="R182:R186" si="43">Q182+0.05</f>
        <v>0.15000000000000002</v>
      </c>
      <c r="S182" s="60">
        <f t="shared" si="39"/>
        <v>0.2</v>
      </c>
      <c r="T182" s="56">
        <f t="shared" si="40"/>
        <v>6.6666666666666666E-2</v>
      </c>
      <c r="U182" s="62">
        <f t="shared" si="41"/>
        <v>6.6666666666666666E-2</v>
      </c>
      <c r="V182" s="8" t="str">
        <f t="shared" si="42"/>
        <v>0.10-0.15</v>
      </c>
      <c r="AI182">
        <v>0.107639</v>
      </c>
      <c r="AJ182">
        <v>0.57421900000000003</v>
      </c>
      <c r="AK182">
        <v>2.3035709999999998</v>
      </c>
      <c r="AL182">
        <v>3.9921880000000001</v>
      </c>
      <c r="AM182">
        <v>7.6156249999999996</v>
      </c>
      <c r="AN182">
        <v>7.0742190000000003</v>
      </c>
      <c r="AO182">
        <v>5.59375</v>
      </c>
      <c r="AP182">
        <v>4.828125</v>
      </c>
      <c r="AQ182">
        <v>3.78125</v>
      </c>
    </row>
    <row r="183" spans="3:43" ht="15" thickBot="1" x14ac:dyDescent="0.35">
      <c r="C183" s="15"/>
      <c r="D183" s="14"/>
      <c r="E183" s="4"/>
      <c r="F183" s="3"/>
      <c r="G183" s="14"/>
      <c r="I183" s="51">
        <v>31.875</v>
      </c>
      <c r="J183" s="34">
        <v>2081</v>
      </c>
      <c r="K183" s="34">
        <v>1635</v>
      </c>
      <c r="L183" s="35">
        <v>1635</v>
      </c>
      <c r="M183" s="35"/>
      <c r="N183" s="32">
        <f t="shared" si="36"/>
        <v>0.27278287461773698</v>
      </c>
      <c r="O183" s="78">
        <f t="shared" si="37"/>
        <v>0.27278287461773698</v>
      </c>
      <c r="Q183" s="7">
        <f t="shared" si="38"/>
        <v>0.15000000000000002</v>
      </c>
      <c r="R183">
        <f t="shared" si="43"/>
        <v>0.2</v>
      </c>
      <c r="S183" s="60">
        <f t="shared" si="39"/>
        <v>0.46666666666666667</v>
      </c>
      <c r="T183" s="56">
        <f t="shared" si="40"/>
        <v>0.13333333333333333</v>
      </c>
      <c r="U183" s="62">
        <f t="shared" si="41"/>
        <v>0.13333333333333333</v>
      </c>
      <c r="V183" s="8" t="str">
        <f t="shared" si="42"/>
        <v>0.15-0.20</v>
      </c>
      <c r="Y183">
        <f>AVERAGE(N179:N208)</f>
        <v>0.26261433986202209</v>
      </c>
      <c r="Z183">
        <f>AVERAGE(O179:O208)</f>
        <v>0.26948002223606837</v>
      </c>
      <c r="AI183">
        <v>9.375E-2</v>
      </c>
      <c r="AJ183">
        <v>1.0390619999999999</v>
      </c>
      <c r="AK183">
        <v>3.238839</v>
      </c>
      <c r="AL183">
        <v>4.140625</v>
      </c>
      <c r="AM183">
        <v>2.1781250000000001</v>
      </c>
      <c r="AN183">
        <v>5.0585940000000003</v>
      </c>
      <c r="AO183">
        <v>4.9166670000000003</v>
      </c>
      <c r="AP183">
        <v>3.5390619999999999</v>
      </c>
      <c r="AQ183">
        <v>4.171875</v>
      </c>
    </row>
    <row r="184" spans="3:43" ht="15" thickBot="1" x14ac:dyDescent="0.35">
      <c r="C184" s="15"/>
      <c r="D184" s="14"/>
      <c r="E184" s="4"/>
      <c r="F184" s="3"/>
      <c r="G184" s="14"/>
      <c r="I184" s="51">
        <v>33.061999999999983</v>
      </c>
      <c r="J184" s="34">
        <v>1937</v>
      </c>
      <c r="K184" s="34">
        <v>1658</v>
      </c>
      <c r="L184" s="35">
        <v>1658</v>
      </c>
      <c r="M184" s="35"/>
      <c r="N184" s="32">
        <f t="shared" si="36"/>
        <v>0.16827503015681544</v>
      </c>
      <c r="O184" s="78">
        <f t="shared" si="37"/>
        <v>0.16827503015681544</v>
      </c>
      <c r="Q184" s="7">
        <f t="shared" si="38"/>
        <v>0.2</v>
      </c>
      <c r="R184">
        <f t="shared" si="43"/>
        <v>0.25</v>
      </c>
      <c r="S184" s="60">
        <f t="shared" si="39"/>
        <v>0.3</v>
      </c>
      <c r="T184" s="56">
        <f t="shared" si="40"/>
        <v>0.36666666666666664</v>
      </c>
      <c r="U184" s="62">
        <f t="shared" si="41"/>
        <v>0.3</v>
      </c>
      <c r="V184" s="8" t="str">
        <f t="shared" si="42"/>
        <v>0.20-0.25</v>
      </c>
      <c r="AI184">
        <v>8.8541999999999996E-2</v>
      </c>
      <c r="AJ184">
        <v>1.1875</v>
      </c>
      <c r="AK184">
        <v>3.5</v>
      </c>
      <c r="AL184">
        <v>4.7395829999999997</v>
      </c>
      <c r="AM184">
        <v>5.4031250000000002</v>
      </c>
      <c r="AN184">
        <v>4.96875</v>
      </c>
      <c r="AO184">
        <v>3.7864580000000001</v>
      </c>
      <c r="AP184">
        <v>4.234375</v>
      </c>
      <c r="AQ184">
        <v>1.15625</v>
      </c>
    </row>
    <row r="185" spans="3:43" ht="15" thickBot="1" x14ac:dyDescent="0.35">
      <c r="C185" s="15"/>
      <c r="D185" s="14"/>
      <c r="E185" s="4"/>
      <c r="F185" s="3"/>
      <c r="G185" s="14"/>
      <c r="I185" s="51">
        <v>29.860000000000014</v>
      </c>
      <c r="J185" s="34">
        <v>2033</v>
      </c>
      <c r="K185" s="34">
        <v>1602</v>
      </c>
      <c r="L185" s="35">
        <v>1602</v>
      </c>
      <c r="M185" s="35"/>
      <c r="N185" s="32">
        <f t="shared" si="36"/>
        <v>0.26903870162297128</v>
      </c>
      <c r="O185" s="78">
        <f t="shared" si="37"/>
        <v>0.26903870162297128</v>
      </c>
      <c r="Q185" s="7">
        <f t="shared" si="38"/>
        <v>0.25</v>
      </c>
      <c r="R185">
        <f t="shared" si="43"/>
        <v>0.3</v>
      </c>
      <c r="S185" s="60">
        <f t="shared" si="39"/>
        <v>3.3333333333333333E-2</v>
      </c>
      <c r="T185" s="56">
        <f t="shared" si="40"/>
        <v>0.23333333333333334</v>
      </c>
      <c r="U185" s="62">
        <f t="shared" si="41"/>
        <v>0.23333333333333334</v>
      </c>
      <c r="V185" s="8" t="str">
        <f t="shared" si="42"/>
        <v>0.25-0.30</v>
      </c>
      <c r="AI185">
        <v>7.8125E-2</v>
      </c>
      <c r="AJ185">
        <v>1.2949219999999999</v>
      </c>
      <c r="AK185">
        <v>2.1227680000000002</v>
      </c>
      <c r="AL185">
        <v>5.5963539999999998</v>
      </c>
      <c r="AM185">
        <v>7.6468749999999996</v>
      </c>
      <c r="AN185">
        <v>7.8203120000000004</v>
      </c>
      <c r="AO185">
        <v>5.1979170000000003</v>
      </c>
      <c r="AP185">
        <v>5.875</v>
      </c>
      <c r="AQ185">
        <v>6.5</v>
      </c>
    </row>
    <row r="186" spans="3:43" ht="15" thickBot="1" x14ac:dyDescent="0.35">
      <c r="C186" s="15"/>
      <c r="D186" s="14"/>
      <c r="E186" s="4"/>
      <c r="F186" s="3"/>
      <c r="G186" s="14"/>
      <c r="I186" s="51">
        <v>44.812000000000012</v>
      </c>
      <c r="J186" s="34">
        <v>2022</v>
      </c>
      <c r="K186" s="34">
        <v>1637</v>
      </c>
      <c r="L186" s="35">
        <v>1617</v>
      </c>
      <c r="M186" s="35"/>
      <c r="N186" s="32">
        <f t="shared" si="36"/>
        <v>0.23518631643249846</v>
      </c>
      <c r="O186" s="78">
        <f t="shared" si="37"/>
        <v>0.2504638218923933</v>
      </c>
      <c r="Q186" s="7">
        <f t="shared" si="38"/>
        <v>0.3</v>
      </c>
      <c r="R186">
        <f t="shared" si="43"/>
        <v>0.35</v>
      </c>
      <c r="S186" s="60">
        <f t="shared" si="39"/>
        <v>0</v>
      </c>
      <c r="T186" s="56">
        <f t="shared" si="40"/>
        <v>6.6666666666666666E-2</v>
      </c>
      <c r="U186" s="62">
        <f t="shared" si="41"/>
        <v>0.1</v>
      </c>
      <c r="V186" s="12" t="str">
        <f t="shared" si="42"/>
        <v>0.30-0.35</v>
      </c>
      <c r="AI186">
        <v>8.8541999999999996E-2</v>
      </c>
      <c r="AJ186">
        <v>1.6113280000000001</v>
      </c>
      <c r="AK186">
        <v>3.1383930000000002</v>
      </c>
      <c r="AL186">
        <v>2.0416669999999999</v>
      </c>
      <c r="AM186">
        <v>5.2062499999999998</v>
      </c>
      <c r="AN186">
        <v>4.578125</v>
      </c>
      <c r="AO186">
        <v>7.140625</v>
      </c>
      <c r="AP186">
        <v>5.046875</v>
      </c>
      <c r="AQ186">
        <v>2.578125</v>
      </c>
    </row>
    <row r="187" spans="3:43" ht="15" thickBot="1" x14ac:dyDescent="0.35">
      <c r="C187" s="15"/>
      <c r="D187" s="14"/>
      <c r="E187" s="4"/>
      <c r="F187" s="3"/>
      <c r="G187" s="14"/>
      <c r="I187" s="51">
        <v>29.031999999999982</v>
      </c>
      <c r="J187" s="34">
        <v>2220</v>
      </c>
      <c r="K187" s="34">
        <v>1630</v>
      </c>
      <c r="L187" s="35">
        <v>1630</v>
      </c>
      <c r="M187" s="35"/>
      <c r="N187" s="32">
        <f t="shared" si="36"/>
        <v>0.3619631901840491</v>
      </c>
      <c r="O187" s="78">
        <f t="shared" si="37"/>
        <v>0.3619631901840491</v>
      </c>
      <c r="Q187" s="7">
        <f t="shared" si="38"/>
        <v>0.35</v>
      </c>
      <c r="R187">
        <v>1</v>
      </c>
      <c r="S187" s="61">
        <f t="shared" si="39"/>
        <v>0</v>
      </c>
      <c r="T187" s="56">
        <f t="shared" si="40"/>
        <v>0.13333333333333333</v>
      </c>
      <c r="U187" s="62">
        <f t="shared" si="41"/>
        <v>0.16666666666666666</v>
      </c>
      <c r="V187" s="12" t="str">
        <f t="shared" si="42"/>
        <v>0.35-1.00</v>
      </c>
      <c r="AI187">
        <v>0.105903</v>
      </c>
      <c r="AJ187">
        <v>0.98046900000000003</v>
      </c>
      <c r="AK187">
        <v>6.0401790000000002</v>
      </c>
      <c r="AL187">
        <v>5.9192710000000002</v>
      </c>
      <c r="AM187">
        <v>4.6656250000000004</v>
      </c>
      <c r="AN187">
        <v>11.761718999999999</v>
      </c>
      <c r="AO187">
        <v>13.682292</v>
      </c>
      <c r="AP187">
        <v>13.414061999999999</v>
      </c>
      <c r="AQ187">
        <v>3.65625</v>
      </c>
    </row>
    <row r="188" spans="3:43" x14ac:dyDescent="0.3">
      <c r="C188" s="15"/>
      <c r="D188" s="14"/>
      <c r="E188" s="4"/>
      <c r="F188" s="3"/>
      <c r="G188" s="14"/>
      <c r="I188" s="51">
        <v>29.25</v>
      </c>
      <c r="J188" s="34">
        <v>1958</v>
      </c>
      <c r="K188" s="34">
        <v>1746</v>
      </c>
      <c r="L188" s="35">
        <v>1704</v>
      </c>
      <c r="M188" s="35"/>
      <c r="N188" s="32">
        <f t="shared" si="36"/>
        <v>0.12142038946162657</v>
      </c>
      <c r="O188" s="78">
        <f t="shared" si="37"/>
        <v>0.14906103286384975</v>
      </c>
      <c r="S188">
        <v>30</v>
      </c>
      <c r="T188">
        <v>30</v>
      </c>
      <c r="U188">
        <v>30</v>
      </c>
      <c r="AI188">
        <v>9.2013999999999999E-2</v>
      </c>
      <c r="AJ188">
        <v>1.8203119999999999</v>
      </c>
      <c r="AK188">
        <v>1.924107</v>
      </c>
      <c r="AL188">
        <v>3.34375</v>
      </c>
      <c r="AM188">
        <v>3.375</v>
      </c>
      <c r="AN188">
        <v>4.6523440000000003</v>
      </c>
      <c r="AO188">
        <v>3.109375</v>
      </c>
      <c r="AP188">
        <v>4.0078120000000004</v>
      </c>
      <c r="AQ188">
        <v>4.734375</v>
      </c>
    </row>
    <row r="189" spans="3:43" x14ac:dyDescent="0.3">
      <c r="C189" s="15"/>
      <c r="D189" s="14"/>
      <c r="E189" s="4"/>
      <c r="F189" s="3"/>
      <c r="G189" s="14"/>
      <c r="I189" s="51">
        <v>29.639999999999986</v>
      </c>
      <c r="J189" s="34">
        <v>1993</v>
      </c>
      <c r="K189" s="34">
        <v>1581</v>
      </c>
      <c r="L189" s="35">
        <v>1581</v>
      </c>
      <c r="M189" s="35"/>
      <c r="N189" s="32">
        <f t="shared" si="36"/>
        <v>0.26059456040480711</v>
      </c>
      <c r="O189" s="78">
        <f t="shared" si="37"/>
        <v>0.26059456040480711</v>
      </c>
      <c r="S189">
        <f>SUM(S180:S186)</f>
        <v>1.0000000000000002</v>
      </c>
      <c r="T189">
        <f>SUM(T180:T187)</f>
        <v>1</v>
      </c>
      <c r="U189">
        <f>SUM(U180:U187)</f>
        <v>1</v>
      </c>
      <c r="AI189">
        <v>7.2916999999999996E-2</v>
      </c>
      <c r="AJ189">
        <v>0.69531200000000004</v>
      </c>
      <c r="AK189">
        <v>1.508929</v>
      </c>
      <c r="AL189">
        <v>4.1822920000000003</v>
      </c>
      <c r="AM189">
        <v>4.7281250000000004</v>
      </c>
      <c r="AN189">
        <v>3.71875</v>
      </c>
      <c r="AO189">
        <v>4.140625</v>
      </c>
      <c r="AP189">
        <v>5.53125</v>
      </c>
      <c r="AQ189">
        <v>5.21875</v>
      </c>
    </row>
    <row r="190" spans="3:43" x14ac:dyDescent="0.3">
      <c r="C190" s="15"/>
      <c r="D190" s="14"/>
      <c r="E190" s="4"/>
      <c r="F190" s="3"/>
      <c r="G190" s="14"/>
      <c r="I190" s="51">
        <v>31.375</v>
      </c>
      <c r="J190" s="46">
        <v>1888</v>
      </c>
      <c r="K190" s="34">
        <v>1572</v>
      </c>
      <c r="L190" s="35">
        <v>1572</v>
      </c>
      <c r="M190" s="35"/>
      <c r="N190" s="32">
        <f t="shared" si="36"/>
        <v>0.2010178117048346</v>
      </c>
      <c r="O190" s="78">
        <f t="shared" si="37"/>
        <v>0.2010178117048346</v>
      </c>
      <c r="AI190">
        <v>0.112847</v>
      </c>
      <c r="AJ190">
        <v>0.65625</v>
      </c>
      <c r="AK190">
        <v>2.3191959999999998</v>
      </c>
      <c r="AL190">
        <v>3.4557289999999998</v>
      </c>
      <c r="AM190">
        <v>5.671875</v>
      </c>
      <c r="AN190">
        <v>5.6640620000000004</v>
      </c>
      <c r="AO190">
        <v>4.3489579999999997</v>
      </c>
      <c r="AP190">
        <v>5.8046879999999996</v>
      </c>
      <c r="AQ190">
        <v>3.765625</v>
      </c>
    </row>
    <row r="191" spans="3:43" x14ac:dyDescent="0.3">
      <c r="C191" s="15"/>
      <c r="D191" s="14"/>
      <c r="E191" s="4"/>
      <c r="F191" s="3"/>
      <c r="G191" s="14"/>
      <c r="I191" s="51">
        <v>33.718999999999994</v>
      </c>
      <c r="J191" s="34">
        <v>1900</v>
      </c>
      <c r="K191" s="34">
        <v>1577</v>
      </c>
      <c r="L191" s="35">
        <v>1577</v>
      </c>
      <c r="M191" s="35"/>
      <c r="N191" s="32">
        <f t="shared" si="36"/>
        <v>0.20481927710843373</v>
      </c>
      <c r="O191" s="78">
        <f t="shared" si="37"/>
        <v>0.20481927710843373</v>
      </c>
      <c r="AI191">
        <v>8.6805999999999994E-2</v>
      </c>
      <c r="AJ191">
        <v>0.91992200000000002</v>
      </c>
      <c r="AK191">
        <v>2.6495540000000002</v>
      </c>
      <c r="AL191">
        <v>3.8776039999999998</v>
      </c>
      <c r="AM191">
        <v>5.8937499999999998</v>
      </c>
      <c r="AN191">
        <v>10.027343999999999</v>
      </c>
      <c r="AO191">
        <v>3.7604169999999999</v>
      </c>
      <c r="AP191">
        <v>5.984375</v>
      </c>
      <c r="AQ191">
        <v>3.96875</v>
      </c>
    </row>
    <row r="192" spans="3:43" x14ac:dyDescent="0.3">
      <c r="C192" s="15"/>
      <c r="D192" s="14"/>
      <c r="E192" s="4"/>
      <c r="F192" s="3"/>
      <c r="G192" s="14"/>
      <c r="I192" s="51">
        <v>29.797000000000025</v>
      </c>
      <c r="J192" s="34">
        <v>2012</v>
      </c>
      <c r="K192" s="34">
        <v>1660</v>
      </c>
      <c r="L192" s="35">
        <v>1660</v>
      </c>
      <c r="M192" s="35"/>
      <c r="N192" s="32">
        <f t="shared" si="36"/>
        <v>0.21204819277108433</v>
      </c>
      <c r="O192" s="78">
        <f t="shared" si="37"/>
        <v>0.21204819277108433</v>
      </c>
      <c r="AI192">
        <v>0.104167</v>
      </c>
      <c r="AJ192">
        <v>1.09375</v>
      </c>
      <c r="AK192">
        <v>3.183036</v>
      </c>
      <c r="AL192">
        <v>7.5885420000000003</v>
      </c>
      <c r="AM192">
        <v>5.8343749999999996</v>
      </c>
      <c r="AN192">
        <v>5.03125</v>
      </c>
      <c r="AO192">
        <v>6.9895829999999997</v>
      </c>
      <c r="AP192">
        <v>4.71875</v>
      </c>
      <c r="AQ192">
        <v>1.890625</v>
      </c>
    </row>
    <row r="193" spans="3:43" x14ac:dyDescent="0.3">
      <c r="C193" s="15"/>
      <c r="D193" s="14"/>
      <c r="E193" s="4"/>
      <c r="F193" s="3"/>
      <c r="G193" s="14"/>
      <c r="I193" s="51">
        <v>48.234000000000037</v>
      </c>
      <c r="J193" s="34">
        <v>2134</v>
      </c>
      <c r="K193" s="34">
        <v>1594</v>
      </c>
      <c r="L193" s="35">
        <v>1594</v>
      </c>
      <c r="M193" s="35"/>
      <c r="N193" s="32">
        <f t="shared" si="36"/>
        <v>0.33877038895859474</v>
      </c>
      <c r="O193" s="78">
        <f t="shared" si="37"/>
        <v>0.33877038895859474</v>
      </c>
      <c r="AI193">
        <v>9.7222000000000003E-2</v>
      </c>
      <c r="AJ193">
        <v>0.58007799999999998</v>
      </c>
      <c r="AK193">
        <v>2.214286</v>
      </c>
      <c r="AL193">
        <v>3.2942710000000002</v>
      </c>
      <c r="AM193">
        <v>5.2468750000000002</v>
      </c>
      <c r="AN193">
        <v>6.6445309999999997</v>
      </c>
      <c r="AO193">
        <v>5.5677079999999997</v>
      </c>
      <c r="AP193">
        <v>10.398438000000001</v>
      </c>
      <c r="AQ193">
        <v>2.53125</v>
      </c>
    </row>
    <row r="194" spans="3:43" x14ac:dyDescent="0.3">
      <c r="C194" s="15"/>
      <c r="D194" s="14"/>
      <c r="E194" s="4"/>
      <c r="F194" s="3"/>
      <c r="G194" s="14"/>
      <c r="I194" s="51">
        <v>25.610000000000014</v>
      </c>
      <c r="J194" s="34">
        <v>2010</v>
      </c>
      <c r="K194" s="34">
        <v>1609</v>
      </c>
      <c r="L194" s="35">
        <v>1574</v>
      </c>
      <c r="M194" s="35"/>
      <c r="N194" s="32">
        <f t="shared" si="36"/>
        <v>0.24922311995027968</v>
      </c>
      <c r="O194" s="78">
        <f t="shared" si="37"/>
        <v>0.27700127064803048</v>
      </c>
      <c r="AI194">
        <v>0.15451400000000001</v>
      </c>
      <c r="AJ194">
        <v>3.2558590000000001</v>
      </c>
      <c r="AK194">
        <v>3.4933040000000002</v>
      </c>
      <c r="AL194">
        <v>6.8697920000000003</v>
      </c>
      <c r="AM194">
        <v>11.543749999999999</v>
      </c>
      <c r="AN194">
        <v>11.460938000000001</v>
      </c>
      <c r="AO194">
        <v>9.5989579999999997</v>
      </c>
      <c r="AP194">
        <v>10.078125</v>
      </c>
      <c r="AQ194">
        <v>6.6875</v>
      </c>
    </row>
    <row r="195" spans="3:43" x14ac:dyDescent="0.3">
      <c r="C195" s="15"/>
      <c r="D195" s="14"/>
      <c r="E195" s="4"/>
      <c r="F195" s="3"/>
      <c r="G195" s="14"/>
      <c r="I195" s="51">
        <v>42.295999999999935</v>
      </c>
      <c r="J195" s="34">
        <v>1942</v>
      </c>
      <c r="K195" s="34">
        <v>1564</v>
      </c>
      <c r="L195" s="35">
        <v>1564</v>
      </c>
      <c r="M195" s="35"/>
      <c r="N195" s="32">
        <f t="shared" si="36"/>
        <v>0.24168797953964194</v>
      </c>
      <c r="O195" s="78">
        <f t="shared" si="37"/>
        <v>0.24168797953964194</v>
      </c>
      <c r="AI195">
        <v>8.8541999999999996E-2</v>
      </c>
      <c r="AJ195">
        <v>1.1582030000000001</v>
      </c>
      <c r="AK195">
        <v>1.877232</v>
      </c>
      <c r="AL195">
        <v>6.5052079999999997</v>
      </c>
      <c r="AM195">
        <v>3.2749999999999999</v>
      </c>
      <c r="AN195">
        <v>3.8476560000000002</v>
      </c>
      <c r="AO195">
        <v>3.296875</v>
      </c>
      <c r="AP195">
        <v>2.453125</v>
      </c>
      <c r="AQ195">
        <v>2.640625</v>
      </c>
    </row>
    <row r="196" spans="3:43" x14ac:dyDescent="0.3">
      <c r="C196" s="15"/>
      <c r="D196" s="14"/>
      <c r="E196" s="4"/>
      <c r="F196" s="3"/>
      <c r="G196" s="14"/>
      <c r="I196" s="51">
        <v>32.907000000000039</v>
      </c>
      <c r="J196" s="34">
        <v>2047</v>
      </c>
      <c r="K196" s="34">
        <v>1645</v>
      </c>
      <c r="L196" s="35">
        <v>1645</v>
      </c>
      <c r="M196" s="35"/>
      <c r="N196" s="32">
        <f t="shared" si="36"/>
        <v>0.24437689969604864</v>
      </c>
      <c r="O196" s="78">
        <f t="shared" si="37"/>
        <v>0.24437689969604864</v>
      </c>
      <c r="AI196">
        <v>9.8958000000000004E-2</v>
      </c>
      <c r="AJ196">
        <v>0.93359400000000003</v>
      </c>
      <c r="AK196">
        <v>3.0223209999999998</v>
      </c>
      <c r="AL196">
        <v>4.5</v>
      </c>
      <c r="AM196">
        <v>6.5125000000000002</v>
      </c>
      <c r="AN196">
        <v>12.769531000000001</v>
      </c>
      <c r="AO196">
        <v>4.5572920000000003</v>
      </c>
      <c r="AP196">
        <v>17.296875</v>
      </c>
      <c r="AQ196">
        <v>5.53125</v>
      </c>
    </row>
    <row r="197" spans="3:43" x14ac:dyDescent="0.3">
      <c r="C197" s="15"/>
      <c r="D197" s="14"/>
      <c r="E197" s="4"/>
      <c r="F197" s="3"/>
      <c r="G197" s="14"/>
      <c r="I197" s="51">
        <v>31.639999999999986</v>
      </c>
      <c r="J197" s="34">
        <v>2317</v>
      </c>
      <c r="K197" s="34">
        <v>1665</v>
      </c>
      <c r="L197" s="35">
        <v>1612</v>
      </c>
      <c r="M197" s="35"/>
      <c r="N197" s="32">
        <f t="shared" si="36"/>
        <v>0.39159159159159157</v>
      </c>
      <c r="O197" s="78">
        <f t="shared" si="37"/>
        <v>0.43734491315136476</v>
      </c>
      <c r="AI197">
        <v>0.11631900000000001</v>
      </c>
      <c r="AJ197">
        <v>1.4160159999999999</v>
      </c>
      <c r="AK197">
        <v>2.823661</v>
      </c>
      <c r="AL197">
        <v>4.4973960000000002</v>
      </c>
      <c r="AM197">
        <v>7.2</v>
      </c>
      <c r="AN197">
        <v>4.6054690000000003</v>
      </c>
      <c r="AO197">
        <v>3.9583330000000001</v>
      </c>
      <c r="AP197">
        <v>4.1640620000000004</v>
      </c>
      <c r="AQ197">
        <v>2.15625</v>
      </c>
    </row>
    <row r="198" spans="3:43" x14ac:dyDescent="0.3">
      <c r="C198" s="15"/>
      <c r="D198" s="14"/>
      <c r="E198" s="4"/>
      <c r="F198" s="3"/>
      <c r="G198" s="14"/>
      <c r="I198" s="51">
        <v>44.812999999999988</v>
      </c>
      <c r="J198" s="34">
        <v>2175</v>
      </c>
      <c r="K198" s="34">
        <v>1699</v>
      </c>
      <c r="L198" s="35">
        <v>1673</v>
      </c>
      <c r="M198" s="35"/>
      <c r="N198" s="32">
        <f t="shared" si="36"/>
        <v>0.28016480282519129</v>
      </c>
      <c r="O198" s="78">
        <f t="shared" si="37"/>
        <v>0.30005977286312013</v>
      </c>
      <c r="AI198">
        <v>8.8541999999999996E-2</v>
      </c>
      <c r="AJ198">
        <v>1.2246090000000001</v>
      </c>
      <c r="AK198">
        <v>2.578125</v>
      </c>
      <c r="AL198">
        <v>2.84375</v>
      </c>
      <c r="AM198">
        <v>4.0218749999999996</v>
      </c>
      <c r="AN198">
        <v>6.4375</v>
      </c>
      <c r="AO198">
        <v>4.4010420000000003</v>
      </c>
      <c r="AP198">
        <v>6.71875</v>
      </c>
      <c r="AQ198">
        <v>3.125</v>
      </c>
    </row>
    <row r="199" spans="3:43" x14ac:dyDescent="0.3">
      <c r="C199" s="15"/>
      <c r="D199" s="14"/>
      <c r="E199" s="4"/>
      <c r="F199" s="3"/>
      <c r="G199" s="14"/>
      <c r="I199" s="51">
        <v>39</v>
      </c>
      <c r="J199" s="34">
        <v>2035</v>
      </c>
      <c r="K199" s="34">
        <v>1658</v>
      </c>
      <c r="L199" s="35">
        <v>1658</v>
      </c>
      <c r="M199" s="35"/>
      <c r="N199" s="32">
        <f t="shared" si="36"/>
        <v>0.22738238841978287</v>
      </c>
      <c r="O199" s="78">
        <f t="shared" si="37"/>
        <v>0.22738238841978287</v>
      </c>
      <c r="AI199">
        <v>9.7222000000000003E-2</v>
      </c>
      <c r="AJ199">
        <v>1.6152340000000001</v>
      </c>
      <c r="AK199">
        <v>5.546875</v>
      </c>
      <c r="AL199">
        <v>4.8020829999999997</v>
      </c>
      <c r="AM199">
        <v>4.2750000000000004</v>
      </c>
      <c r="AN199">
        <v>5.8554690000000003</v>
      </c>
      <c r="AO199">
        <v>6.5885420000000003</v>
      </c>
      <c r="AP199">
        <v>5.796875</v>
      </c>
      <c r="AQ199">
        <v>3.515625</v>
      </c>
    </row>
    <row r="200" spans="3:43" x14ac:dyDescent="0.3">
      <c r="C200" s="15"/>
      <c r="D200" s="14"/>
      <c r="E200" s="4"/>
      <c r="F200" s="3"/>
      <c r="G200" s="14"/>
      <c r="I200" s="51">
        <v>32.764999999999986</v>
      </c>
      <c r="J200" s="34">
        <v>1959</v>
      </c>
      <c r="K200" s="34">
        <v>1647</v>
      </c>
      <c r="L200" s="35">
        <v>1647</v>
      </c>
      <c r="M200" s="35"/>
      <c r="N200" s="32">
        <f t="shared" si="36"/>
        <v>0.18943533697632059</v>
      </c>
      <c r="O200" s="78">
        <f t="shared" si="37"/>
        <v>0.18943533697632059</v>
      </c>
      <c r="AI200">
        <v>8.3333000000000004E-2</v>
      </c>
      <c r="AJ200">
        <v>0.484375</v>
      </c>
      <c r="AK200">
        <v>2.734375</v>
      </c>
      <c r="AL200">
        <v>4.265625</v>
      </c>
      <c r="AM200">
        <v>6.0125000000000002</v>
      </c>
      <c r="AN200">
        <v>4.65625</v>
      </c>
      <c r="AO200">
        <v>5.8645829999999997</v>
      </c>
      <c r="AP200">
        <v>6.671875</v>
      </c>
      <c r="AQ200">
        <v>3.53125</v>
      </c>
    </row>
    <row r="201" spans="3:43" x14ac:dyDescent="0.3">
      <c r="C201" s="15"/>
      <c r="D201" s="14"/>
      <c r="E201" s="4"/>
      <c r="F201" s="3"/>
      <c r="G201" s="14"/>
      <c r="I201" s="51">
        <v>39.390999999999963</v>
      </c>
      <c r="J201" s="34">
        <v>1986</v>
      </c>
      <c r="K201" s="34">
        <v>1685</v>
      </c>
      <c r="L201" s="35">
        <v>1685</v>
      </c>
      <c r="M201" s="35"/>
      <c r="N201" s="32">
        <f t="shared" si="36"/>
        <v>0.17863501483679525</v>
      </c>
      <c r="O201" s="78">
        <f t="shared" si="37"/>
        <v>0.17863501483679525</v>
      </c>
      <c r="AI201">
        <v>8.6805999999999994E-2</v>
      </c>
      <c r="AJ201">
        <v>0.80468799999999996</v>
      </c>
      <c r="AK201">
        <v>2.6272319999999998</v>
      </c>
      <c r="AL201">
        <v>2.6354169999999999</v>
      </c>
      <c r="AM201">
        <v>3.4906250000000001</v>
      </c>
      <c r="AN201">
        <v>4.0585940000000003</v>
      </c>
      <c r="AO201">
        <v>4.75</v>
      </c>
      <c r="AP201">
        <v>2.8046880000000001</v>
      </c>
      <c r="AQ201">
        <v>1.40625</v>
      </c>
    </row>
    <row r="202" spans="3:43" x14ac:dyDescent="0.3">
      <c r="C202" s="15"/>
      <c r="D202" s="14"/>
      <c r="E202" s="4"/>
      <c r="F202" s="3"/>
      <c r="G202" s="14"/>
      <c r="I202" s="51">
        <v>38.219000000000051</v>
      </c>
      <c r="J202" s="34">
        <v>1874</v>
      </c>
      <c r="K202" s="34">
        <v>1683</v>
      </c>
      <c r="L202" s="35">
        <v>1683</v>
      </c>
      <c r="M202" s="35"/>
      <c r="N202" s="32">
        <f t="shared" si="36"/>
        <v>0.11348781937017231</v>
      </c>
      <c r="O202" s="78">
        <f t="shared" si="37"/>
        <v>0.11348781937017231</v>
      </c>
      <c r="AI202">
        <v>9.8958000000000004E-2</v>
      </c>
      <c r="AJ202">
        <v>1.0136719999999999</v>
      </c>
      <c r="AK202">
        <v>3.1183040000000002</v>
      </c>
      <c r="AL202">
        <v>4.7473960000000002</v>
      </c>
      <c r="AM202">
        <v>6.390625</v>
      </c>
      <c r="AN202">
        <v>3.9960939999999998</v>
      </c>
      <c r="AO202">
        <v>4.765625</v>
      </c>
      <c r="AP202">
        <v>6.1171879999999996</v>
      </c>
      <c r="AQ202">
        <v>1.984375</v>
      </c>
    </row>
    <row r="203" spans="3:43" x14ac:dyDescent="0.3">
      <c r="C203" s="15"/>
      <c r="D203" s="14"/>
      <c r="E203" s="4"/>
      <c r="F203" s="3"/>
      <c r="G203" s="14"/>
      <c r="I203" s="51">
        <v>49.937000000000012</v>
      </c>
      <c r="J203" s="34">
        <v>2070</v>
      </c>
      <c r="K203" s="34">
        <v>1694</v>
      </c>
      <c r="L203" s="35">
        <v>1694</v>
      </c>
      <c r="M203" s="35"/>
      <c r="N203" s="32">
        <f t="shared" si="36"/>
        <v>0.22195985832349469</v>
      </c>
      <c r="O203" s="78">
        <f t="shared" si="37"/>
        <v>0.22195985832349469</v>
      </c>
      <c r="AI203">
        <v>8.8541999999999996E-2</v>
      </c>
      <c r="AJ203">
        <v>1.2597659999999999</v>
      </c>
      <c r="AK203">
        <v>2.796875</v>
      </c>
      <c r="AL203">
        <v>3.0338539999999998</v>
      </c>
      <c r="AM203">
        <v>4.7218749999999998</v>
      </c>
      <c r="AN203">
        <v>5.0117190000000003</v>
      </c>
      <c r="AO203">
        <v>4.4635420000000003</v>
      </c>
      <c r="AP203">
        <v>6.6953120000000004</v>
      </c>
      <c r="AQ203">
        <v>3.4375</v>
      </c>
    </row>
    <row r="204" spans="3:43" x14ac:dyDescent="0.3">
      <c r="C204" s="15"/>
      <c r="D204" s="14"/>
      <c r="E204" s="4"/>
      <c r="F204" s="3"/>
      <c r="G204" s="14"/>
      <c r="I204" s="51">
        <v>42.890999999999963</v>
      </c>
      <c r="J204" s="34">
        <v>1981</v>
      </c>
      <c r="K204" s="34">
        <v>1657</v>
      </c>
      <c r="L204" s="35">
        <v>1657</v>
      </c>
      <c r="M204" s="35"/>
      <c r="N204" s="32">
        <f t="shared" si="36"/>
        <v>0.19553409776704889</v>
      </c>
      <c r="O204" s="78">
        <f t="shared" si="37"/>
        <v>0.19553409776704889</v>
      </c>
      <c r="AI204">
        <v>0.107639</v>
      </c>
      <c r="AJ204">
        <v>1.800781</v>
      </c>
      <c r="AK204">
        <v>4.6785709999999998</v>
      </c>
      <c r="AL204">
        <v>5.2161460000000002</v>
      </c>
      <c r="AM204">
        <v>6.2593750000000004</v>
      </c>
      <c r="AN204">
        <v>5.6289059999999997</v>
      </c>
      <c r="AO204">
        <v>6.2135420000000003</v>
      </c>
      <c r="AP204">
        <v>3.8828119999999999</v>
      </c>
      <c r="AQ204">
        <v>11.859375</v>
      </c>
    </row>
    <row r="205" spans="3:43" x14ac:dyDescent="0.3">
      <c r="C205" s="15"/>
      <c r="D205" s="14"/>
      <c r="E205" s="4"/>
      <c r="F205" s="3"/>
      <c r="G205" s="14"/>
      <c r="I205" s="51">
        <v>46.734000000000037</v>
      </c>
      <c r="J205" s="34">
        <v>2240</v>
      </c>
      <c r="K205" s="34">
        <v>1686</v>
      </c>
      <c r="L205" s="35">
        <v>1641</v>
      </c>
      <c r="M205" s="35"/>
      <c r="N205" s="32">
        <f t="shared" si="36"/>
        <v>0.32858837485172004</v>
      </c>
      <c r="O205" s="78">
        <f t="shared" si="37"/>
        <v>0.36502132845825713</v>
      </c>
      <c r="AI205">
        <v>8.6805999999999994E-2</v>
      </c>
      <c r="AJ205">
        <v>0.87109400000000003</v>
      </c>
      <c r="AK205">
        <v>2.3928569999999998</v>
      </c>
      <c r="AL205">
        <v>4.3802079999999997</v>
      </c>
      <c r="AM205">
        <v>5.2874999999999996</v>
      </c>
      <c r="AN205">
        <v>4.9960940000000003</v>
      </c>
      <c r="AO205">
        <v>3.9635419999999999</v>
      </c>
      <c r="AP205">
        <v>6.0390620000000004</v>
      </c>
      <c r="AQ205">
        <v>12.671875</v>
      </c>
    </row>
    <row r="206" spans="3:43" x14ac:dyDescent="0.3">
      <c r="C206" s="15"/>
      <c r="D206" s="14"/>
      <c r="E206" s="4"/>
      <c r="F206" s="3"/>
      <c r="G206" s="14"/>
      <c r="I206" s="51">
        <v>48.515999999999963</v>
      </c>
      <c r="J206" s="34">
        <v>1954</v>
      </c>
      <c r="K206" s="34">
        <v>1595</v>
      </c>
      <c r="L206" s="35">
        <v>1595</v>
      </c>
      <c r="M206" s="35"/>
      <c r="N206" s="32">
        <f t="shared" si="36"/>
        <v>0.22507836990595612</v>
      </c>
      <c r="O206" s="78">
        <f t="shared" si="37"/>
        <v>0.22507836990595612</v>
      </c>
      <c r="AI206">
        <v>8.6805999999999994E-2</v>
      </c>
      <c r="AJ206">
        <v>1.0957030000000001</v>
      </c>
      <c r="AK206">
        <v>3.9910709999999998</v>
      </c>
      <c r="AL206">
        <v>6.703125</v>
      </c>
      <c r="AM206">
        <v>4.5187499999999998</v>
      </c>
      <c r="AN206">
        <v>3.4804689999999998</v>
      </c>
      <c r="AO206">
        <v>5.84375</v>
      </c>
      <c r="AP206">
        <v>5.328125</v>
      </c>
      <c r="AQ206">
        <v>6.765625</v>
      </c>
    </row>
    <row r="207" spans="3:43" x14ac:dyDescent="0.3">
      <c r="C207" s="15"/>
      <c r="D207" s="14"/>
      <c r="E207" s="4"/>
      <c r="F207" s="3"/>
      <c r="G207" s="14"/>
      <c r="I207" s="51">
        <v>56.577999999999975</v>
      </c>
      <c r="J207" s="34">
        <v>2189</v>
      </c>
      <c r="K207" s="34">
        <v>1621</v>
      </c>
      <c r="L207" s="35">
        <v>1611</v>
      </c>
      <c r="M207" s="35"/>
      <c r="N207" s="32">
        <f t="shared" si="36"/>
        <v>0.35040098704503392</v>
      </c>
      <c r="O207" s="78">
        <f t="shared" si="37"/>
        <v>0.35878336436995656</v>
      </c>
      <c r="AI207">
        <v>8.5069000000000006E-2</v>
      </c>
      <c r="AJ207">
        <v>0.81054700000000002</v>
      </c>
      <c r="AK207">
        <v>3.7254459999999998</v>
      </c>
      <c r="AL207">
        <v>5.9036460000000002</v>
      </c>
      <c r="AM207">
        <v>7.703125</v>
      </c>
      <c r="AN207">
        <v>6.8984379999999996</v>
      </c>
      <c r="AO207">
        <v>4.2395829999999997</v>
      </c>
      <c r="AP207">
        <v>5.296875</v>
      </c>
      <c r="AQ207">
        <v>8.171875</v>
      </c>
    </row>
    <row r="208" spans="3:43" ht="15" thickBot="1" x14ac:dyDescent="0.35">
      <c r="C208" s="16"/>
      <c r="D208" s="17"/>
      <c r="E208" s="10"/>
      <c r="F208" s="11"/>
      <c r="G208" s="17"/>
      <c r="H208" s="38"/>
      <c r="I208" s="53">
        <v>39.655999999999949</v>
      </c>
      <c r="J208" s="36">
        <v>2144</v>
      </c>
      <c r="K208" s="36">
        <v>1653</v>
      </c>
      <c r="L208" s="37">
        <v>1645</v>
      </c>
      <c r="M208" s="37"/>
      <c r="N208" s="32">
        <f t="shared" si="36"/>
        <v>0.29703569267997582</v>
      </c>
      <c r="O208" s="78">
        <f t="shared" si="37"/>
        <v>0.30334346504559273</v>
      </c>
      <c r="AI208">
        <v>0.104167</v>
      </c>
      <c r="AJ208">
        <v>2.6503909999999999</v>
      </c>
      <c r="AK208">
        <v>9.953125</v>
      </c>
      <c r="AL208">
        <v>5.7864579999999997</v>
      </c>
      <c r="AM208">
        <v>5.3062500000000004</v>
      </c>
      <c r="AN208">
        <v>5.421875</v>
      </c>
      <c r="AO208">
        <v>4.3958329999999997</v>
      </c>
      <c r="AP208">
        <v>3.609375</v>
      </c>
      <c r="AQ208">
        <v>5.21875</v>
      </c>
    </row>
    <row r="209" spans="3:43" x14ac:dyDescent="0.3">
      <c r="AI209">
        <v>7.2916999999999996E-2</v>
      </c>
      <c r="AJ209">
        <v>0.71093799999999996</v>
      </c>
      <c r="AK209">
        <v>4.6540179999999998</v>
      </c>
      <c r="AL209">
        <v>4.3177079999999997</v>
      </c>
      <c r="AM209">
        <v>3.375</v>
      </c>
      <c r="AN209">
        <v>2.7304689999999998</v>
      </c>
      <c r="AO209">
        <v>3.3697919999999999</v>
      </c>
      <c r="AP209">
        <v>5.65625</v>
      </c>
      <c r="AQ209">
        <v>1.46875</v>
      </c>
    </row>
    <row r="210" spans="3:43" x14ac:dyDescent="0.3">
      <c r="Q210" s="44" t="s">
        <v>21</v>
      </c>
      <c r="R210">
        <v>0.05</v>
      </c>
    </row>
    <row r="211" spans="3:43" x14ac:dyDescent="0.3">
      <c r="C211" t="e">
        <f>AVERAGE(C179:C208)</f>
        <v>#DIV/0!</v>
      </c>
      <c r="I211">
        <f>AVERAGE(I179:I208)</f>
        <v>37.547899999999998</v>
      </c>
      <c r="J211" t="s">
        <v>17</v>
      </c>
      <c r="N211">
        <f>AVERAGE(N179:N208)</f>
        <v>0.26261433986202209</v>
      </c>
      <c r="O211">
        <f>AVERAGE(O179:O208)</f>
        <v>0.26948002223606837</v>
      </c>
      <c r="P211" t="s">
        <v>26</v>
      </c>
      <c r="Q211" s="44" t="s">
        <v>19</v>
      </c>
      <c r="R211" t="e">
        <f>_xlfn.T.TEST(#REF!,I179:I208,1,3)</f>
        <v>#REF!</v>
      </c>
      <c r="S211" s="121" t="s">
        <v>39</v>
      </c>
      <c r="T211" s="121"/>
      <c r="U211" s="121"/>
      <c r="V211" s="121"/>
      <c r="W211" s="121"/>
      <c r="X211" t="s">
        <v>24</v>
      </c>
      <c r="Y211" s="121" t="s">
        <v>23</v>
      </c>
      <c r="Z211" s="121"/>
      <c r="AA211" s="121"/>
      <c r="AB211" s="121"/>
      <c r="AC211" s="121"/>
      <c r="AD211" s="121"/>
      <c r="AE211" s="121"/>
      <c r="AI211">
        <f>AVERAGE(AI180:AI209)</f>
        <v>9.438666666666666E-2</v>
      </c>
      <c r="AJ211">
        <f t="shared" ref="AJ211:AQ211" si="44">AVERAGE(AJ180:AJ209)</f>
        <v>1.1611979333333333</v>
      </c>
      <c r="AK211">
        <f t="shared" si="44"/>
        <v>3.3172619000000005</v>
      </c>
      <c r="AL211">
        <f t="shared" si="44"/>
        <v>4.7313367999999993</v>
      </c>
      <c r="AM211">
        <f t="shared" si="44"/>
        <v>6.2002083333333351</v>
      </c>
      <c r="AN211">
        <f t="shared" si="44"/>
        <v>6.0593750666666661</v>
      </c>
      <c r="AO211">
        <f t="shared" si="44"/>
        <v>5.2651041999999988</v>
      </c>
      <c r="AP211">
        <f t="shared" si="44"/>
        <v>6.0828124333333333</v>
      </c>
      <c r="AQ211">
        <f t="shared" si="44"/>
        <v>4.515625</v>
      </c>
    </row>
    <row r="212" spans="3:43" x14ac:dyDescent="0.3">
      <c r="I212">
        <f>_xlfn.STDEV.S(I179:I208)</f>
        <v>7.9637996491451144</v>
      </c>
      <c r="J212" s="44">
        <f>I212/I211</f>
        <v>0.21209707198392228</v>
      </c>
      <c r="Q212" s="44"/>
      <c r="S212" s="121"/>
      <c r="T212" s="121"/>
      <c r="U212" s="121"/>
      <c r="V212" s="121"/>
      <c r="W212" s="121"/>
      <c r="Y212" s="121"/>
      <c r="Z212" s="121"/>
      <c r="AA212" s="121"/>
      <c r="AB212" s="121"/>
      <c r="AC212" s="121"/>
      <c r="AD212" s="121"/>
      <c r="AE212" s="121"/>
    </row>
    <row r="235" spans="3:38" ht="15" thickBot="1" x14ac:dyDescent="0.35">
      <c r="C235" s="44" t="s">
        <v>90</v>
      </c>
      <c r="D235" s="44" t="s">
        <v>91</v>
      </c>
    </row>
    <row r="236" spans="3:38" x14ac:dyDescent="0.3">
      <c r="C236" s="27" t="s">
        <v>3</v>
      </c>
      <c r="D236" s="28"/>
      <c r="E236" s="28"/>
      <c r="F236" s="28"/>
      <c r="G236" s="28"/>
      <c r="H236" s="28"/>
      <c r="I236" s="5" t="s">
        <v>12</v>
      </c>
      <c r="J236" s="22"/>
      <c r="K236" s="22"/>
      <c r="L236" s="22"/>
      <c r="M236" s="22"/>
      <c r="N236" s="22"/>
      <c r="O236" s="6"/>
    </row>
    <row r="237" spans="3:38" x14ac:dyDescent="0.3">
      <c r="C237" s="15" t="s">
        <v>4</v>
      </c>
      <c r="D237" s="14" t="s">
        <v>0</v>
      </c>
      <c r="E237" s="14" t="s">
        <v>7</v>
      </c>
      <c r="F237" s="3" t="s">
        <v>8</v>
      </c>
      <c r="G237" s="13" t="s">
        <v>9</v>
      </c>
      <c r="H237" s="55" t="s">
        <v>10</v>
      </c>
      <c r="I237" s="71" t="s">
        <v>4</v>
      </c>
      <c r="J237" s="48" t="s">
        <v>0</v>
      </c>
      <c r="K237" s="48" t="s">
        <v>7</v>
      </c>
      <c r="L237" s="55" t="s">
        <v>8</v>
      </c>
      <c r="M237" s="48" t="s">
        <v>9</v>
      </c>
      <c r="N237" s="1" t="s">
        <v>10</v>
      </c>
      <c r="O237" s="69" t="s">
        <v>18</v>
      </c>
      <c r="Q237" t="s">
        <v>15</v>
      </c>
      <c r="R237">
        <f>SQRT(29)</f>
        <v>5.3851648071345037</v>
      </c>
    </row>
    <row r="238" spans="3:38" ht="15" thickBot="1" x14ac:dyDescent="0.35">
      <c r="C238" s="20"/>
      <c r="D238" s="13"/>
      <c r="E238" s="2"/>
      <c r="F238" s="1"/>
      <c r="G238" s="13"/>
      <c r="I238" s="49">
        <v>32.36</v>
      </c>
      <c r="J238" s="32">
        <v>2877</v>
      </c>
      <c r="K238" s="32">
        <v>2826</v>
      </c>
      <c r="L238" s="33">
        <v>2826</v>
      </c>
      <c r="M238" s="33"/>
      <c r="N238" s="32">
        <f>(J238-K238)/K238</f>
        <v>1.8046709129511677E-2</v>
      </c>
      <c r="O238" s="78">
        <f>(J238-L238)/L238</f>
        <v>1.8046709129511677E-2</v>
      </c>
      <c r="S238" t="s">
        <v>16</v>
      </c>
      <c r="T238" t="s">
        <v>44</v>
      </c>
      <c r="U238" t="s">
        <v>8</v>
      </c>
    </row>
    <row r="239" spans="3:38" ht="15" thickBot="1" x14ac:dyDescent="0.35">
      <c r="C239" s="15"/>
      <c r="D239" s="14"/>
      <c r="E239" s="4"/>
      <c r="F239" s="3"/>
      <c r="G239" s="14"/>
      <c r="I239" s="51">
        <v>24.75</v>
      </c>
      <c r="J239" s="34">
        <v>2842</v>
      </c>
      <c r="K239" s="34">
        <v>2706</v>
      </c>
      <c r="L239" s="35">
        <v>2706</v>
      </c>
      <c r="M239" s="35"/>
      <c r="N239" s="32">
        <f t="shared" ref="N239:N266" si="45">(J239-K239)/K239</f>
        <v>5.0258684405025872E-2</v>
      </c>
      <c r="O239" s="78">
        <f t="shared" ref="O239:O266" si="46">(J239-L239)/L239</f>
        <v>5.0258684405025872E-2</v>
      </c>
      <c r="Q239" s="5">
        <v>0</v>
      </c>
      <c r="R239" s="22">
        <v>0.05</v>
      </c>
      <c r="S239" s="59">
        <f>COUNTIFS($M$62:$M$91,"&lt;"&amp;R239,$M$62:$M$91,"&gt;="&amp;Q239)/30</f>
        <v>0</v>
      </c>
      <c r="T239" s="56">
        <f>COUNTIFS($N$238:$N$267,"&lt;"&amp;R239,$N$238:$N$267,"&gt;="&amp;Q239)/29</f>
        <v>0.20689655172413793</v>
      </c>
      <c r="U239" s="62">
        <f>COUNTIFS($O$238:$O$267,"&lt;"&amp;R239,$O$238:$O$267,"&gt;="&amp;Q239)/29</f>
        <v>0.20689655172413793</v>
      </c>
      <c r="V239" s="6" t="str">
        <f>_xlfn.CONCAT(TEXT(Q239,"0.00"),"-",TEXT(R239,"0.00"))</f>
        <v>0.00-0.05</v>
      </c>
      <c r="AH239">
        <v>9.375E-2</v>
      </c>
      <c r="AI239">
        <v>6.765625</v>
      </c>
      <c r="AJ239">
        <v>12.817708</v>
      </c>
      <c r="AK239">
        <v>26.507812000000001</v>
      </c>
      <c r="AL239">
        <v>28.875</v>
      </c>
    </row>
    <row r="240" spans="3:38" ht="15" thickBot="1" x14ac:dyDescent="0.35">
      <c r="C240" s="15"/>
      <c r="D240" s="14"/>
      <c r="E240" s="4"/>
      <c r="F240" s="3"/>
      <c r="G240" s="14"/>
      <c r="I240" s="51">
        <v>28.936999999999998</v>
      </c>
      <c r="J240" s="34">
        <v>3135</v>
      </c>
      <c r="K240" s="34">
        <v>2880</v>
      </c>
      <c r="L240" s="35">
        <v>2880</v>
      </c>
      <c r="M240" s="35"/>
      <c r="N240" s="32">
        <f t="shared" si="45"/>
        <v>8.8541666666666671E-2</v>
      </c>
      <c r="O240" s="78">
        <f t="shared" si="46"/>
        <v>8.8541666666666671E-2</v>
      </c>
      <c r="Q240" s="7">
        <f t="shared" ref="Q240:Q246" si="47">R239</f>
        <v>0.05</v>
      </c>
      <c r="R240">
        <f>Q240+0.05</f>
        <v>0.1</v>
      </c>
      <c r="S240" s="60">
        <f t="shared" ref="S240:S246" si="48">COUNTIFS($M$62:$M$91,"&lt;"&amp;R240,$M$62:$M$91,"&gt;="&amp;Q240)/30</f>
        <v>0</v>
      </c>
      <c r="T240" s="56">
        <f t="shared" ref="T240:T246" si="49">COUNTIFS($N$238:$N$267,"&lt;"&amp;R240,$N$238:$N$267,"&gt;="&amp;Q240)/29</f>
        <v>0.34482758620689657</v>
      </c>
      <c r="U240" s="62">
        <f t="shared" ref="U240:U246" si="50">COUNTIFS($O$238:$O$267,"&lt;"&amp;R240,$O$238:$O$267,"&gt;="&amp;Q240)/29</f>
        <v>0.34482758620689657</v>
      </c>
      <c r="V240" s="8" t="str">
        <f t="shared" ref="V240:V246" si="51">_xlfn.CONCAT(TEXT(Q240,"0.00"),"-",TEXT(R240,"0.00"))</f>
        <v>0.05-0.10</v>
      </c>
      <c r="AH240">
        <v>7.4999999999999997E-2</v>
      </c>
      <c r="AI240">
        <v>3.046875</v>
      </c>
      <c r="AJ240">
        <v>10.770833</v>
      </c>
      <c r="AK240">
        <v>26.101562000000001</v>
      </c>
      <c r="AL240">
        <v>21.40625</v>
      </c>
    </row>
    <row r="241" spans="3:38" ht="15" thickBot="1" x14ac:dyDescent="0.35">
      <c r="C241" s="15"/>
      <c r="D241" s="14"/>
      <c r="E241" s="4"/>
      <c r="F241" s="3"/>
      <c r="G241" s="14"/>
      <c r="I241" s="51">
        <v>33.703000000000003</v>
      </c>
      <c r="J241" s="34">
        <v>2925</v>
      </c>
      <c r="K241" s="34">
        <v>2740</v>
      </c>
      <c r="L241" s="35">
        <v>2740</v>
      </c>
      <c r="M241" s="35"/>
      <c r="N241" s="32">
        <f t="shared" si="45"/>
        <v>6.7518248175182483E-2</v>
      </c>
      <c r="O241" s="78">
        <f t="shared" si="46"/>
        <v>6.7518248175182483E-2</v>
      </c>
      <c r="Q241" s="7">
        <f t="shared" si="47"/>
        <v>0.1</v>
      </c>
      <c r="R241">
        <f t="shared" ref="R241:R246" si="52">Q241+0.05</f>
        <v>0.15000000000000002</v>
      </c>
      <c r="S241" s="60">
        <f t="shared" si="48"/>
        <v>0.2</v>
      </c>
      <c r="T241" s="56">
        <f t="shared" si="49"/>
        <v>0.27586206896551724</v>
      </c>
      <c r="U241" s="62">
        <f t="shared" si="50"/>
        <v>0.27586206896551724</v>
      </c>
      <c r="V241" s="8" t="str">
        <f t="shared" si="51"/>
        <v>0.10-0.15</v>
      </c>
      <c r="AH241">
        <v>0.1125</v>
      </c>
      <c r="AI241">
        <v>3.3789060000000002</v>
      </c>
      <c r="AJ241">
        <v>16.713542</v>
      </c>
      <c r="AK241">
        <v>34.882812000000001</v>
      </c>
      <c r="AL241">
        <v>31.234375</v>
      </c>
    </row>
    <row r="242" spans="3:38" ht="15" thickBot="1" x14ac:dyDescent="0.35">
      <c r="C242" s="15"/>
      <c r="D242" s="14"/>
      <c r="E242" s="4"/>
      <c r="F242" s="3"/>
      <c r="G242" s="14"/>
      <c r="I242" s="51">
        <v>31.765999999999991</v>
      </c>
      <c r="J242" s="34">
        <v>2975</v>
      </c>
      <c r="K242" s="34">
        <v>2681</v>
      </c>
      <c r="L242" s="35">
        <v>2681</v>
      </c>
      <c r="M242" s="35"/>
      <c r="N242" s="32">
        <f t="shared" si="45"/>
        <v>0.10966057441253264</v>
      </c>
      <c r="O242" s="78">
        <f t="shared" si="46"/>
        <v>0.10966057441253264</v>
      </c>
      <c r="Q242" s="7">
        <f t="shared" si="47"/>
        <v>0.15000000000000002</v>
      </c>
      <c r="R242">
        <f t="shared" si="52"/>
        <v>0.2</v>
      </c>
      <c r="S242" s="60">
        <f t="shared" si="48"/>
        <v>0.46666666666666667</v>
      </c>
      <c r="T242" s="56">
        <f t="shared" si="49"/>
        <v>0.17241379310344829</v>
      </c>
      <c r="U242" s="62">
        <f t="shared" si="50"/>
        <v>0.17241379310344829</v>
      </c>
      <c r="V242" s="8" t="str">
        <f t="shared" si="51"/>
        <v>0.15-0.20</v>
      </c>
      <c r="Y242">
        <f>AVERAGE(N238:N267)</f>
        <v>9.4836919885364968E-2</v>
      </c>
      <c r="Z242">
        <f>AVERAGE(O238:O267)</f>
        <v>9.4836919885364968E-2</v>
      </c>
      <c r="AH242">
        <v>9.6875000000000003E-2</v>
      </c>
      <c r="AI242">
        <v>5.8125</v>
      </c>
      <c r="AJ242">
        <v>10.125</v>
      </c>
      <c r="AK242">
        <v>24.421875</v>
      </c>
      <c r="AL242">
        <v>68.140625</v>
      </c>
    </row>
    <row r="243" spans="3:38" ht="15" thickBot="1" x14ac:dyDescent="0.35">
      <c r="C243" s="15"/>
      <c r="D243" s="14"/>
      <c r="E243" s="4"/>
      <c r="F243" s="3"/>
      <c r="G243" s="14"/>
      <c r="I243" s="51">
        <v>31.625</v>
      </c>
      <c r="J243" s="34">
        <v>3008</v>
      </c>
      <c r="K243" s="34">
        <v>2897</v>
      </c>
      <c r="L243" s="35">
        <v>2897</v>
      </c>
      <c r="M243" s="35"/>
      <c r="N243" s="32">
        <f t="shared" si="45"/>
        <v>3.8315498791853642E-2</v>
      </c>
      <c r="O243" s="78">
        <f t="shared" si="46"/>
        <v>3.8315498791853642E-2</v>
      </c>
      <c r="Q243" s="7">
        <f t="shared" si="47"/>
        <v>0.2</v>
      </c>
      <c r="R243">
        <f t="shared" si="52"/>
        <v>0.25</v>
      </c>
      <c r="S243" s="60">
        <f t="shared" si="48"/>
        <v>0.3</v>
      </c>
      <c r="T243" s="56">
        <f t="shared" si="49"/>
        <v>0</v>
      </c>
      <c r="U243" s="62">
        <f t="shared" si="50"/>
        <v>0</v>
      </c>
      <c r="V243" s="8" t="str">
        <f t="shared" si="51"/>
        <v>0.20-0.25</v>
      </c>
      <c r="AH243">
        <v>0.109375</v>
      </c>
      <c r="AI243">
        <v>5.3867190000000003</v>
      </c>
      <c r="AJ243">
        <v>17.520833</v>
      </c>
      <c r="AK243">
        <v>19.328125</v>
      </c>
      <c r="AL243">
        <v>35.546875</v>
      </c>
    </row>
    <row r="244" spans="3:38" ht="15" thickBot="1" x14ac:dyDescent="0.35">
      <c r="C244" s="15"/>
      <c r="D244" s="14"/>
      <c r="E244" s="4"/>
      <c r="F244" s="3"/>
      <c r="G244" s="14"/>
      <c r="I244" s="51">
        <v>26.76600000000002</v>
      </c>
      <c r="J244" s="34">
        <v>2944</v>
      </c>
      <c r="K244" s="34">
        <v>2747</v>
      </c>
      <c r="L244" s="35">
        <v>2747</v>
      </c>
      <c r="M244" s="35"/>
      <c r="N244" s="32">
        <f t="shared" si="45"/>
        <v>7.1714597742992353E-2</v>
      </c>
      <c r="O244" s="78">
        <f t="shared" si="46"/>
        <v>7.1714597742992353E-2</v>
      </c>
      <c r="Q244" s="7">
        <f t="shared" si="47"/>
        <v>0.25</v>
      </c>
      <c r="R244">
        <f t="shared" si="52"/>
        <v>0.3</v>
      </c>
      <c r="S244" s="60">
        <f t="shared" si="48"/>
        <v>3.3333333333333333E-2</v>
      </c>
      <c r="T244" s="56">
        <f t="shared" si="49"/>
        <v>0</v>
      </c>
      <c r="U244" s="62">
        <f t="shared" si="50"/>
        <v>0</v>
      </c>
      <c r="V244" s="8" t="str">
        <f t="shared" si="51"/>
        <v>0.25-0.30</v>
      </c>
      <c r="AH244">
        <v>9.375E-2</v>
      </c>
      <c r="AI244">
        <v>7.9492190000000003</v>
      </c>
      <c r="AJ244">
        <v>14.677083</v>
      </c>
      <c r="AK244">
        <v>30.71875</v>
      </c>
      <c r="AL244">
        <v>22.59375</v>
      </c>
    </row>
    <row r="245" spans="3:38" ht="15" thickBot="1" x14ac:dyDescent="0.35">
      <c r="C245" s="15"/>
      <c r="D245" s="14"/>
      <c r="E245" s="4"/>
      <c r="F245" s="3"/>
      <c r="G245" s="14"/>
      <c r="I245" s="51">
        <v>37.921999999999997</v>
      </c>
      <c r="J245" s="34">
        <v>3057</v>
      </c>
      <c r="K245" s="34">
        <v>2826</v>
      </c>
      <c r="L245" s="35">
        <v>2826</v>
      </c>
      <c r="M245" s="35"/>
      <c r="N245" s="32">
        <f t="shared" si="45"/>
        <v>8.174097664543524E-2</v>
      </c>
      <c r="O245" s="78">
        <f t="shared" si="46"/>
        <v>8.174097664543524E-2</v>
      </c>
      <c r="Q245" s="7">
        <f t="shared" si="47"/>
        <v>0.3</v>
      </c>
      <c r="R245">
        <f t="shared" si="52"/>
        <v>0.35</v>
      </c>
      <c r="S245" s="60">
        <f t="shared" si="48"/>
        <v>0</v>
      </c>
      <c r="T245" s="56">
        <f t="shared" si="49"/>
        <v>0</v>
      </c>
      <c r="U245" s="62">
        <f t="shared" si="50"/>
        <v>0</v>
      </c>
      <c r="V245" s="12" t="str">
        <f t="shared" si="51"/>
        <v>0.30-0.35</v>
      </c>
      <c r="AH245">
        <v>0.24687500000000001</v>
      </c>
      <c r="AI245">
        <v>1.796875</v>
      </c>
      <c r="AJ245">
        <v>9.8333329999999997</v>
      </c>
      <c r="AK245">
        <v>29.59375</v>
      </c>
      <c r="AL245">
        <v>72.65625</v>
      </c>
    </row>
    <row r="246" spans="3:38" ht="15" thickBot="1" x14ac:dyDescent="0.35">
      <c r="C246" s="15"/>
      <c r="D246" s="14"/>
      <c r="E246" s="4"/>
      <c r="F246" s="3"/>
      <c r="G246" s="14"/>
      <c r="I246" s="51">
        <v>46.10899999999998</v>
      </c>
      <c r="J246" s="34">
        <v>3436</v>
      </c>
      <c r="K246" s="34">
        <v>2881</v>
      </c>
      <c r="L246" s="35">
        <v>2881</v>
      </c>
      <c r="M246" s="35"/>
      <c r="N246" s="32">
        <f t="shared" si="45"/>
        <v>0.19264144394307531</v>
      </c>
      <c r="O246" s="78">
        <f t="shared" si="46"/>
        <v>0.19264144394307531</v>
      </c>
      <c r="Q246" s="7">
        <f t="shared" si="47"/>
        <v>0.35</v>
      </c>
      <c r="R246">
        <f>Q246+0.05</f>
        <v>0.39999999999999997</v>
      </c>
      <c r="S246" s="61">
        <f t="shared" si="48"/>
        <v>0</v>
      </c>
      <c r="T246" s="56">
        <f t="shared" si="49"/>
        <v>0</v>
      </c>
      <c r="U246" s="62">
        <f t="shared" si="50"/>
        <v>0</v>
      </c>
      <c r="V246" s="12" t="str">
        <f t="shared" si="51"/>
        <v>0.35-0.40</v>
      </c>
      <c r="AH246">
        <v>0.121875</v>
      </c>
      <c r="AI246">
        <v>12.59375</v>
      </c>
      <c r="AJ246">
        <v>25.473958</v>
      </c>
      <c r="AK246">
        <v>38.617187999999999</v>
      </c>
      <c r="AL246">
        <v>32.828125</v>
      </c>
    </row>
    <row r="247" spans="3:38" x14ac:dyDescent="0.3">
      <c r="C247" s="15"/>
      <c r="D247" s="14"/>
      <c r="E247" s="4"/>
      <c r="F247" s="3"/>
      <c r="G247" s="14"/>
      <c r="I247" s="51">
        <v>37.531000000000006</v>
      </c>
      <c r="J247" s="34">
        <v>3185</v>
      </c>
      <c r="K247" s="34">
        <v>2790</v>
      </c>
      <c r="L247" s="35">
        <v>2790</v>
      </c>
      <c r="M247" s="35"/>
      <c r="N247" s="32">
        <f t="shared" si="45"/>
        <v>0.14157706093189965</v>
      </c>
      <c r="O247" s="78">
        <f t="shared" si="46"/>
        <v>0.14157706093189965</v>
      </c>
      <c r="S247">
        <v>30</v>
      </c>
      <c r="T247">
        <v>30</v>
      </c>
      <c r="U247">
        <v>30</v>
      </c>
      <c r="AH247">
        <v>0.140625</v>
      </c>
      <c r="AI247">
        <v>6.9414059999999997</v>
      </c>
      <c r="AJ247">
        <v>29.125</v>
      </c>
      <c r="AK247">
        <v>30.476562000000001</v>
      </c>
      <c r="AL247">
        <v>39.28125</v>
      </c>
    </row>
    <row r="248" spans="3:38" x14ac:dyDescent="0.3">
      <c r="C248" s="15"/>
      <c r="D248" s="14"/>
      <c r="E248" s="4"/>
      <c r="F248" s="3"/>
      <c r="G248" s="14"/>
      <c r="I248" s="51">
        <v>25.703000000000031</v>
      </c>
      <c r="J248" s="34">
        <v>3372</v>
      </c>
      <c r="K248" s="34">
        <v>2854</v>
      </c>
      <c r="L248" s="35">
        <v>2854</v>
      </c>
      <c r="M248" s="35"/>
      <c r="N248" s="32">
        <f t="shared" si="45"/>
        <v>0.18149964961457604</v>
      </c>
      <c r="O248" s="78">
        <f t="shared" si="46"/>
        <v>0.18149964961457604</v>
      </c>
      <c r="S248">
        <f>SUM(S239:S245)</f>
        <v>1.0000000000000002</v>
      </c>
      <c r="T248">
        <f>SUM(T239:T245)</f>
        <v>1</v>
      </c>
      <c r="U248">
        <f>SUM(U239:U246)</f>
        <v>1</v>
      </c>
      <c r="AH248">
        <v>9.6875000000000003E-2</v>
      </c>
      <c r="AI248">
        <v>4.453125</v>
      </c>
      <c r="AJ248">
        <v>18.484375</v>
      </c>
      <c r="AK248">
        <v>36.359375</v>
      </c>
      <c r="AL248">
        <v>46.59375</v>
      </c>
    </row>
    <row r="249" spans="3:38" x14ac:dyDescent="0.3">
      <c r="C249" s="15"/>
      <c r="D249" s="14"/>
      <c r="E249" s="4"/>
      <c r="F249" s="3"/>
      <c r="G249" s="14"/>
      <c r="I249" s="51">
        <v>45.437999999999988</v>
      </c>
      <c r="J249" s="46">
        <v>2983</v>
      </c>
      <c r="K249" s="34">
        <v>2956</v>
      </c>
      <c r="L249" s="35">
        <v>2956</v>
      </c>
      <c r="M249" s="35"/>
      <c r="N249" s="32">
        <f t="shared" si="45"/>
        <v>9.1339648173207038E-3</v>
      </c>
      <c r="O249" s="78">
        <f t="shared" si="46"/>
        <v>9.1339648173207038E-3</v>
      </c>
      <c r="AH249">
        <v>9.375E-2</v>
      </c>
      <c r="AI249">
        <v>6.4804690000000003</v>
      </c>
      <c r="AJ249">
        <v>11.927083</v>
      </c>
      <c r="AK249">
        <v>24.0625</v>
      </c>
      <c r="AL249">
        <v>28.453125</v>
      </c>
    </row>
    <row r="250" spans="3:38" x14ac:dyDescent="0.3">
      <c r="C250" s="15"/>
      <c r="D250" s="14"/>
      <c r="E250" s="4"/>
      <c r="F250" s="3"/>
      <c r="G250" s="14"/>
      <c r="I250" s="51">
        <v>41.5</v>
      </c>
      <c r="J250" s="34">
        <v>2909</v>
      </c>
      <c r="K250" s="34">
        <v>2614</v>
      </c>
      <c r="L250" s="35">
        <v>2614</v>
      </c>
      <c r="M250" s="35"/>
      <c r="N250" s="32">
        <f t="shared" si="45"/>
        <v>0.11285386381025249</v>
      </c>
      <c r="O250" s="78">
        <f t="shared" si="46"/>
        <v>0.11285386381025249</v>
      </c>
      <c r="AH250">
        <v>0.10625</v>
      </c>
      <c r="AI250">
        <v>9.2265619999999995</v>
      </c>
      <c r="AJ250">
        <v>44.807291999999997</v>
      </c>
      <c r="AK250">
        <v>32.851562000000001</v>
      </c>
      <c r="AL250">
        <v>32.625</v>
      </c>
    </row>
    <row r="251" spans="3:38" x14ac:dyDescent="0.3">
      <c r="C251" s="15"/>
      <c r="D251" s="14"/>
      <c r="E251" s="4"/>
      <c r="F251" s="3"/>
      <c r="G251" s="14"/>
      <c r="I251" s="51">
        <v>35.812000000000012</v>
      </c>
      <c r="J251" s="34">
        <v>3129</v>
      </c>
      <c r="K251" s="34">
        <v>2941</v>
      </c>
      <c r="L251" s="35">
        <v>2941</v>
      </c>
      <c r="M251" s="35"/>
      <c r="N251" s="32">
        <f t="shared" si="45"/>
        <v>6.3923835430125808E-2</v>
      </c>
      <c r="O251" s="78">
        <f t="shared" si="46"/>
        <v>6.3923835430125808E-2</v>
      </c>
      <c r="AH251">
        <v>0.10312499999999999</v>
      </c>
      <c r="AI251">
        <v>9.7539060000000006</v>
      </c>
      <c r="AJ251">
        <v>28.333333</v>
      </c>
      <c r="AK251">
        <v>41.828125</v>
      </c>
      <c r="AL251">
        <v>56.875</v>
      </c>
    </row>
    <row r="252" spans="3:38" x14ac:dyDescent="0.3">
      <c r="C252" s="15"/>
      <c r="D252" s="14"/>
      <c r="E252" s="4"/>
      <c r="F252" s="3"/>
      <c r="G252" s="14"/>
      <c r="I252" s="51">
        <v>33.031999999999925</v>
      </c>
      <c r="J252" s="34">
        <v>3256</v>
      </c>
      <c r="K252" s="34">
        <v>2772</v>
      </c>
      <c r="L252" s="35">
        <v>2772</v>
      </c>
      <c r="M252" s="35"/>
      <c r="N252" s="32">
        <f t="shared" si="45"/>
        <v>0.17460317460317459</v>
      </c>
      <c r="O252" s="78">
        <f t="shared" si="46"/>
        <v>0.17460317460317459</v>
      </c>
      <c r="AH252">
        <v>0.13437499999999999</v>
      </c>
      <c r="AI252">
        <v>7.734375</v>
      </c>
      <c r="AJ252">
        <v>18.53125</v>
      </c>
      <c r="AK252">
        <v>25.578125</v>
      </c>
      <c r="AL252">
        <v>26.703125</v>
      </c>
    </row>
    <row r="253" spans="3:38" x14ac:dyDescent="0.3">
      <c r="C253" s="15"/>
      <c r="D253" s="14"/>
      <c r="E253" s="4"/>
      <c r="F253" s="3"/>
      <c r="G253" s="14"/>
      <c r="I253" s="51">
        <v>44.343000000000075</v>
      </c>
      <c r="J253" s="34">
        <v>3276</v>
      </c>
      <c r="K253" s="34">
        <v>2817</v>
      </c>
      <c r="L253" s="35">
        <v>2817</v>
      </c>
      <c r="M253" s="35"/>
      <c r="N253" s="32">
        <f t="shared" si="45"/>
        <v>0.16293929712460065</v>
      </c>
      <c r="O253" s="78">
        <f t="shared" si="46"/>
        <v>0.16293929712460065</v>
      </c>
      <c r="AH253">
        <v>0.13125000000000001</v>
      </c>
      <c r="AI253">
        <v>5.2148440000000003</v>
      </c>
      <c r="AJ253">
        <v>10.34375</v>
      </c>
      <c r="AK253">
        <v>60.585937999999999</v>
      </c>
      <c r="AL253">
        <v>23.53125</v>
      </c>
    </row>
    <row r="254" spans="3:38" x14ac:dyDescent="0.3">
      <c r="C254" s="15"/>
      <c r="D254" s="14"/>
      <c r="E254" s="4"/>
      <c r="F254" s="3"/>
      <c r="G254" s="14"/>
      <c r="I254" s="51">
        <v>33.702999999999975</v>
      </c>
      <c r="J254" s="34">
        <v>3058</v>
      </c>
      <c r="K254" s="34">
        <v>2723</v>
      </c>
      <c r="L254" s="35">
        <v>2723</v>
      </c>
      <c r="M254" s="35"/>
      <c r="N254" s="32">
        <f t="shared" si="45"/>
        <v>0.12302607418288652</v>
      </c>
      <c r="O254" s="78">
        <f t="shared" si="46"/>
        <v>0.12302607418288652</v>
      </c>
      <c r="AH254">
        <v>0.13437499999999999</v>
      </c>
      <c r="AI254">
        <v>7.8085940000000003</v>
      </c>
      <c r="AJ254">
        <v>24.307292</v>
      </c>
      <c r="AK254">
        <v>52.09375</v>
      </c>
      <c r="AL254">
        <v>24.734375</v>
      </c>
    </row>
    <row r="255" spans="3:38" x14ac:dyDescent="0.3">
      <c r="C255" s="15"/>
      <c r="D255" s="14"/>
      <c r="E255" s="4"/>
      <c r="F255" s="3"/>
      <c r="G255" s="14"/>
      <c r="I255" s="51">
        <v>37.890999999999963</v>
      </c>
      <c r="J255" s="34">
        <v>3026</v>
      </c>
      <c r="K255" s="34">
        <v>2899</v>
      </c>
      <c r="L255" s="35">
        <v>2899</v>
      </c>
      <c r="M255" s="35"/>
      <c r="N255" s="32">
        <f t="shared" si="45"/>
        <v>4.3808209727492241E-2</v>
      </c>
      <c r="O255" s="78">
        <f t="shared" si="46"/>
        <v>4.3808209727492241E-2</v>
      </c>
      <c r="AH255">
        <v>9.0624999999999997E-2</v>
      </c>
      <c r="AI255">
        <v>3.9023439999999998</v>
      </c>
      <c r="AJ255">
        <v>11.6875</v>
      </c>
      <c r="AK255">
        <v>52.164062000000001</v>
      </c>
      <c r="AL255">
        <v>65.625</v>
      </c>
    </row>
    <row r="256" spans="3:38" x14ac:dyDescent="0.3">
      <c r="C256" s="15"/>
      <c r="D256" s="14"/>
      <c r="E256" s="4"/>
      <c r="F256" s="3"/>
      <c r="G256" s="14"/>
      <c r="I256" s="51">
        <v>28.922000000000025</v>
      </c>
      <c r="J256" s="34">
        <v>3014</v>
      </c>
      <c r="K256" s="34">
        <v>2766</v>
      </c>
      <c r="L256" s="35">
        <v>2766</v>
      </c>
      <c r="M256" s="35"/>
      <c r="N256" s="32">
        <f t="shared" si="45"/>
        <v>8.9660159074475776E-2</v>
      </c>
      <c r="O256" s="78">
        <f t="shared" si="46"/>
        <v>8.9660159074475776E-2</v>
      </c>
      <c r="AH256">
        <v>0.1125</v>
      </c>
      <c r="AI256">
        <v>6.0039059999999997</v>
      </c>
      <c r="AJ256">
        <v>14.671875</v>
      </c>
      <c r="AK256">
        <v>37.914062000000001</v>
      </c>
      <c r="AL256">
        <v>60.65625</v>
      </c>
    </row>
    <row r="257" spans="3:38" x14ac:dyDescent="0.3">
      <c r="C257" s="15"/>
      <c r="D257" s="14"/>
      <c r="E257" s="4"/>
      <c r="F257" s="3"/>
      <c r="G257" s="14"/>
      <c r="I257" s="51">
        <v>30.406000000000063</v>
      </c>
      <c r="J257" s="34">
        <v>2830</v>
      </c>
      <c r="K257" s="34">
        <v>2808</v>
      </c>
      <c r="L257" s="35">
        <v>2808</v>
      </c>
      <c r="M257" s="35"/>
      <c r="N257" s="32">
        <f t="shared" si="45"/>
        <v>7.8347578347578353E-3</v>
      </c>
      <c r="O257" s="78">
        <f t="shared" si="46"/>
        <v>7.8347578347578353E-3</v>
      </c>
      <c r="AH257">
        <v>0.109375</v>
      </c>
      <c r="AI257">
        <v>8.1367189999999994</v>
      </c>
      <c r="AJ257">
        <v>12.71875</v>
      </c>
      <c r="AK257">
        <v>19.632812000000001</v>
      </c>
      <c r="AL257">
        <v>25.515625</v>
      </c>
    </row>
    <row r="258" spans="3:38" x14ac:dyDescent="0.3">
      <c r="C258" s="15"/>
      <c r="D258" s="14"/>
      <c r="E258" s="4"/>
      <c r="F258" s="3"/>
      <c r="G258" s="14"/>
      <c r="I258" s="51">
        <v>34.265999999999963</v>
      </c>
      <c r="J258" s="34">
        <v>3160</v>
      </c>
      <c r="K258" s="34">
        <v>2770</v>
      </c>
      <c r="L258" s="35">
        <v>2770</v>
      </c>
      <c r="M258" s="35"/>
      <c r="N258" s="32">
        <f t="shared" si="45"/>
        <v>0.1407942238267148</v>
      </c>
      <c r="O258" s="78">
        <f t="shared" si="46"/>
        <v>0.1407942238267148</v>
      </c>
      <c r="AH258">
        <v>0.11874999999999999</v>
      </c>
      <c r="AI258">
        <v>7.3046879999999996</v>
      </c>
      <c r="AJ258">
        <v>16.130208</v>
      </c>
      <c r="AK258">
        <v>25.320312000000001</v>
      </c>
      <c r="AL258">
        <v>35.328125</v>
      </c>
    </row>
    <row r="259" spans="3:38" x14ac:dyDescent="0.3">
      <c r="C259" s="15"/>
      <c r="D259" s="14"/>
      <c r="E259" s="4"/>
      <c r="F259" s="3"/>
      <c r="G259" s="14"/>
      <c r="I259" s="51">
        <v>38.984000000000037</v>
      </c>
      <c r="J259" s="34">
        <v>3032</v>
      </c>
      <c r="K259" s="34">
        <v>2830</v>
      </c>
      <c r="L259" s="35">
        <v>2830</v>
      </c>
      <c r="M259" s="35"/>
      <c r="N259" s="32">
        <f t="shared" si="45"/>
        <v>7.1378091872791524E-2</v>
      </c>
      <c r="O259" s="78">
        <f t="shared" si="46"/>
        <v>7.1378091872791524E-2</v>
      </c>
      <c r="AH259">
        <v>0.125</v>
      </c>
      <c r="AI259">
        <v>7.0976559999999997</v>
      </c>
      <c r="AJ259">
        <v>18.265625</v>
      </c>
      <c r="AK259">
        <v>25.59375</v>
      </c>
      <c r="AL259">
        <v>33.890625</v>
      </c>
    </row>
    <row r="260" spans="3:38" x14ac:dyDescent="0.3">
      <c r="C260" s="15"/>
      <c r="D260" s="14"/>
      <c r="E260" s="4"/>
      <c r="F260" s="3"/>
      <c r="G260" s="14"/>
      <c r="I260" s="51">
        <v>25.187999999999988</v>
      </c>
      <c r="J260" s="34">
        <v>2848</v>
      </c>
      <c r="K260" s="34">
        <v>2828</v>
      </c>
      <c r="L260" s="35">
        <v>2828</v>
      </c>
      <c r="M260" s="35"/>
      <c r="N260" s="32">
        <f t="shared" si="45"/>
        <v>7.0721357850070717E-3</v>
      </c>
      <c r="O260" s="78">
        <f t="shared" si="46"/>
        <v>7.0721357850070717E-3</v>
      </c>
      <c r="AH260">
        <v>0.121875</v>
      </c>
      <c r="AI260">
        <v>8.59375</v>
      </c>
      <c r="AJ260">
        <v>21.083333</v>
      </c>
      <c r="AK260">
        <v>38.53125</v>
      </c>
      <c r="AL260">
        <v>17.515625</v>
      </c>
    </row>
    <row r="261" spans="3:38" x14ac:dyDescent="0.3">
      <c r="C261" s="15"/>
      <c r="D261" s="14"/>
      <c r="E261" s="4"/>
      <c r="F261" s="3"/>
      <c r="G261" s="14"/>
      <c r="I261" s="51">
        <v>85.421999999999912</v>
      </c>
      <c r="J261" s="34">
        <v>3772</v>
      </c>
      <c r="K261" s="34">
        <v>2772</v>
      </c>
      <c r="L261" s="35">
        <v>2772</v>
      </c>
      <c r="M261" s="35"/>
      <c r="N261" s="32"/>
      <c r="O261" s="78"/>
      <c r="AH261">
        <v>9.0624999999999997E-2</v>
      </c>
      <c r="AI261">
        <v>2.3710939999999998</v>
      </c>
      <c r="AJ261">
        <v>10.890625</v>
      </c>
      <c r="AK261">
        <v>22.640625</v>
      </c>
      <c r="AL261">
        <v>47.015625</v>
      </c>
    </row>
    <row r="262" spans="3:38" x14ac:dyDescent="0.3">
      <c r="C262" s="15"/>
      <c r="D262" s="14"/>
      <c r="E262" s="4"/>
      <c r="F262" s="3"/>
      <c r="G262" s="14"/>
      <c r="I262" s="51">
        <v>45.593000000000075</v>
      </c>
      <c r="J262" s="34">
        <v>3026</v>
      </c>
      <c r="K262" s="34">
        <v>2846</v>
      </c>
      <c r="L262" s="35">
        <v>2846</v>
      </c>
      <c r="M262" s="35"/>
      <c r="N262" s="32">
        <f t="shared" si="45"/>
        <v>6.3246661981728736E-2</v>
      </c>
      <c r="O262" s="78">
        <f t="shared" si="46"/>
        <v>6.3246661981728736E-2</v>
      </c>
      <c r="AH262">
        <v>0.12812499999999999</v>
      </c>
      <c r="AI262">
        <v>15.375</v>
      </c>
      <c r="AJ262">
        <v>112.307292</v>
      </c>
      <c r="AK262">
        <v>33.0625</v>
      </c>
      <c r="AL262">
        <v>16.671875</v>
      </c>
    </row>
    <row r="263" spans="3:38" x14ac:dyDescent="0.3">
      <c r="C263" s="15"/>
      <c r="D263" s="14"/>
      <c r="E263" s="4"/>
      <c r="F263" s="3"/>
      <c r="G263" s="14"/>
      <c r="I263" s="51">
        <v>36.797000000000025</v>
      </c>
      <c r="J263" s="34">
        <v>3218</v>
      </c>
      <c r="K263" s="34">
        <v>2896</v>
      </c>
      <c r="L263" s="35">
        <v>2896</v>
      </c>
      <c r="M263" s="35"/>
      <c r="N263" s="32">
        <f t="shared" si="45"/>
        <v>0.1111878453038674</v>
      </c>
      <c r="O263" s="78">
        <f t="shared" si="46"/>
        <v>0.1111878453038674</v>
      </c>
      <c r="AH263">
        <v>8.4375000000000006E-2</v>
      </c>
      <c r="AI263">
        <v>11.921875</v>
      </c>
      <c r="AJ263">
        <v>22.276042</v>
      </c>
      <c r="AK263">
        <v>22.859375</v>
      </c>
      <c r="AL263">
        <v>60.59375</v>
      </c>
    </row>
    <row r="264" spans="3:38" x14ac:dyDescent="0.3">
      <c r="C264" s="15"/>
      <c r="D264" s="14"/>
      <c r="E264" s="4"/>
      <c r="F264" s="3"/>
      <c r="G264" s="14"/>
      <c r="I264" s="51">
        <v>35.452999999999975</v>
      </c>
      <c r="J264" s="34">
        <v>3135</v>
      </c>
      <c r="K264" s="34">
        <v>2817</v>
      </c>
      <c r="L264" s="35">
        <v>2817</v>
      </c>
      <c r="M264" s="35"/>
      <c r="N264" s="32">
        <f t="shared" si="45"/>
        <v>0.11288604898828541</v>
      </c>
      <c r="O264" s="78">
        <f t="shared" si="46"/>
        <v>0.11288604898828541</v>
      </c>
      <c r="AH264">
        <v>8.4375000000000006E-2</v>
      </c>
      <c r="AI264">
        <v>4.640625</v>
      </c>
      <c r="AJ264">
        <v>17.609375</v>
      </c>
      <c r="AK264">
        <v>41.046875</v>
      </c>
      <c r="AL264">
        <v>23</v>
      </c>
    </row>
    <row r="265" spans="3:38" x14ac:dyDescent="0.3">
      <c r="C265" s="15"/>
      <c r="D265" s="14"/>
      <c r="E265" s="4"/>
      <c r="F265" s="3"/>
      <c r="G265" s="14"/>
      <c r="I265" s="51">
        <v>27.515999999999963</v>
      </c>
      <c r="J265" s="34">
        <v>3093</v>
      </c>
      <c r="K265" s="34">
        <v>2838</v>
      </c>
      <c r="L265" s="35">
        <v>2838</v>
      </c>
      <c r="M265" s="35"/>
      <c r="N265" s="32">
        <f t="shared" si="45"/>
        <v>8.9852008456659624E-2</v>
      </c>
      <c r="O265" s="78">
        <f t="shared" si="46"/>
        <v>8.9852008456659624E-2</v>
      </c>
      <c r="AH265">
        <v>9.375E-2</v>
      </c>
      <c r="AI265">
        <v>8.7773439999999994</v>
      </c>
      <c r="AJ265">
        <v>12.302083</v>
      </c>
      <c r="AK265">
        <v>26.648437999999999</v>
      </c>
      <c r="AL265">
        <v>46.3125</v>
      </c>
    </row>
    <row r="266" spans="3:38" x14ac:dyDescent="0.3">
      <c r="C266" s="15"/>
      <c r="D266" s="14"/>
      <c r="E266" s="4"/>
      <c r="F266" s="3"/>
      <c r="G266" s="14"/>
      <c r="I266" s="51">
        <v>49.921999999999898</v>
      </c>
      <c r="J266" s="34">
        <v>3314</v>
      </c>
      <c r="K266" s="34">
        <v>2884</v>
      </c>
      <c r="L266" s="35">
        <v>2884</v>
      </c>
      <c r="M266" s="35"/>
      <c r="N266" s="32">
        <f t="shared" si="45"/>
        <v>0.14909847434119278</v>
      </c>
      <c r="O266" s="78">
        <f t="shared" si="46"/>
        <v>0.14909847434119278</v>
      </c>
      <c r="AH266">
        <v>9.375E-2</v>
      </c>
      <c r="AI266">
        <v>6.4960940000000003</v>
      </c>
      <c r="AJ266">
        <v>14.427083</v>
      </c>
      <c r="AK266">
        <v>14.601561999999999</v>
      </c>
      <c r="AL266">
        <v>16.46875</v>
      </c>
    </row>
    <row r="267" spans="3:38" ht="15" thickBot="1" x14ac:dyDescent="0.35">
      <c r="C267" s="16"/>
      <c r="D267" s="17"/>
      <c r="E267" s="10"/>
      <c r="F267" s="11"/>
      <c r="G267" s="17"/>
      <c r="H267" s="38"/>
      <c r="I267" s="53">
        <v>36.7650000000001</v>
      </c>
      <c r="J267" s="36">
        <v>3410</v>
      </c>
      <c r="K267" s="36">
        <v>2901</v>
      </c>
      <c r="L267" s="37">
        <v>2901</v>
      </c>
      <c r="M267" s="37"/>
      <c r="N267" s="32">
        <f t="shared" ref="N267" si="53">(J267-K267)/K267</f>
        <v>0.17545673905549811</v>
      </c>
      <c r="O267" s="78">
        <f t="shared" ref="O267" si="54">(J267-L267)/L267</f>
        <v>0.17545673905549811</v>
      </c>
      <c r="AH267">
        <v>9.6875000000000003E-2</v>
      </c>
      <c r="AI267">
        <v>9.8867189999999994</v>
      </c>
      <c r="AJ267">
        <v>45.765625</v>
      </c>
      <c r="AK267">
        <v>26.101562000000001</v>
      </c>
      <c r="AL267">
        <v>58.328125</v>
      </c>
    </row>
    <row r="268" spans="3:38" x14ac:dyDescent="0.3">
      <c r="AH268">
        <v>8.7499999999999994E-2</v>
      </c>
      <c r="AI268">
        <v>10.414061999999999</v>
      </c>
      <c r="AJ268">
        <v>17.4375</v>
      </c>
      <c r="AK268">
        <v>19.328125</v>
      </c>
      <c r="AL268">
        <v>40.0625</v>
      </c>
    </row>
    <row r="269" spans="3:38" x14ac:dyDescent="0.3">
      <c r="Q269" s="44" t="s">
        <v>21</v>
      </c>
      <c r="R269">
        <v>0.05</v>
      </c>
    </row>
    <row r="270" spans="3:38" x14ac:dyDescent="0.3">
      <c r="C270" t="e">
        <f>AVERAGE(C238:C267)</f>
        <v>#DIV/0!</v>
      </c>
      <c r="I270">
        <f>AVERAGE(I238:I267)</f>
        <v>36.804166666666667</v>
      </c>
      <c r="J270" t="s">
        <v>17</v>
      </c>
      <c r="N270">
        <f>AVERAGE(N238:N267)</f>
        <v>9.4836919885364968E-2</v>
      </c>
      <c r="O270">
        <f>AVERAGE(O238:O267)</f>
        <v>9.4836919885364968E-2</v>
      </c>
      <c r="P270" t="s">
        <v>26</v>
      </c>
      <c r="Q270" s="44" t="s">
        <v>19</v>
      </c>
      <c r="R270" t="e">
        <f>_xlfn.T.TEST(#REF!,I238:I267,1,3)</f>
        <v>#REF!</v>
      </c>
      <c r="S270" s="121" t="s">
        <v>39</v>
      </c>
      <c r="T270" s="121"/>
      <c r="U270" s="121"/>
      <c r="V270" s="121"/>
      <c r="W270" s="121"/>
      <c r="X270" t="s">
        <v>24</v>
      </c>
      <c r="Y270" s="121" t="s">
        <v>23</v>
      </c>
      <c r="Z270" s="121"/>
      <c r="AA270" s="121"/>
      <c r="AB270" s="121"/>
      <c r="AC270" s="121"/>
      <c r="AD270" s="121"/>
      <c r="AE270" s="121"/>
      <c r="AH270">
        <f>AVERAGE(AH239:AH268)</f>
        <v>0.11093749999999998</v>
      </c>
      <c r="AI270">
        <f t="shared" ref="AI270:AL270" si="55">AVERAGE(AI239:AI268)</f>
        <v>7.175520866666667</v>
      </c>
      <c r="AJ270">
        <f t="shared" si="55"/>
        <v>21.712152700000001</v>
      </c>
      <c r="AK270">
        <f t="shared" si="55"/>
        <v>31.315104033333334</v>
      </c>
      <c r="AL270">
        <f t="shared" si="55"/>
        <v>37.96875</v>
      </c>
    </row>
    <row r="271" spans="3:38" x14ac:dyDescent="0.3">
      <c r="I271">
        <f>_xlfn.STDEV.S(I238:I267)</f>
        <v>11.342436295134963</v>
      </c>
      <c r="J271" s="44">
        <f>I271/I270</f>
        <v>0.30818348362191678</v>
      </c>
      <c r="Q271" s="44"/>
      <c r="S271" s="121"/>
      <c r="T271" s="121"/>
      <c r="U271" s="121"/>
      <c r="V271" s="121"/>
      <c r="W271" s="121"/>
      <c r="Y271" s="121"/>
      <c r="Z271" s="121"/>
      <c r="AA271" s="121"/>
      <c r="AB271" s="121"/>
      <c r="AC271" s="121"/>
      <c r="AD271" s="121"/>
      <c r="AE271" s="121"/>
    </row>
    <row r="313" spans="1:6" x14ac:dyDescent="0.3">
      <c r="A313" s="44" t="s">
        <v>42</v>
      </c>
    </row>
    <row r="314" spans="1:6" x14ac:dyDescent="0.3">
      <c r="C314" t="s">
        <v>44</v>
      </c>
      <c r="D314" t="s">
        <v>8</v>
      </c>
      <c r="E314" t="s">
        <v>61</v>
      </c>
      <c r="F314" t="s">
        <v>93</v>
      </c>
    </row>
    <row r="315" spans="1:6" x14ac:dyDescent="0.3">
      <c r="A315">
        <v>45</v>
      </c>
      <c r="B315" t="s">
        <v>94</v>
      </c>
      <c r="C315">
        <v>3.5528197097994089E-2</v>
      </c>
      <c r="D315">
        <v>4.0885335558244952E-2</v>
      </c>
      <c r="E315">
        <v>60.454166666666666</v>
      </c>
      <c r="F315">
        <f>(A315)*(A315+1)/2</f>
        <v>1035</v>
      </c>
    </row>
    <row r="316" spans="1:6" x14ac:dyDescent="0.3">
      <c r="A316">
        <v>25</v>
      </c>
      <c r="B316" t="s">
        <v>95</v>
      </c>
      <c r="C316">
        <v>0.18498875297554862</v>
      </c>
      <c r="D316">
        <v>0.21261622427996249</v>
      </c>
      <c r="E316">
        <v>34.605600000000003</v>
      </c>
      <c r="F316">
        <f t="shared" ref="F316:F319" si="56">(A316)*(A316+1)/2</f>
        <v>325</v>
      </c>
    </row>
    <row r="317" spans="1:6" x14ac:dyDescent="0.3">
      <c r="A317">
        <v>15</v>
      </c>
      <c r="B317" t="s">
        <v>96</v>
      </c>
      <c r="C317">
        <v>0.43364274333399117</v>
      </c>
      <c r="D317">
        <v>0.72315634977843646</v>
      </c>
      <c r="E317">
        <v>34.956533333333333</v>
      </c>
      <c r="F317">
        <f t="shared" si="56"/>
        <v>120</v>
      </c>
    </row>
    <row r="318" spans="1:6" x14ac:dyDescent="0.3">
      <c r="A318">
        <v>9</v>
      </c>
      <c r="B318" t="s">
        <v>97</v>
      </c>
      <c r="C318">
        <v>0.26261433986202209</v>
      </c>
      <c r="D318">
        <v>0.26948002223606837</v>
      </c>
      <c r="E318">
        <v>37.547899999999998</v>
      </c>
      <c r="F318">
        <f t="shared" si="56"/>
        <v>45</v>
      </c>
    </row>
    <row r="319" spans="1:6" x14ac:dyDescent="0.3">
      <c r="A319">
        <v>5</v>
      </c>
      <c r="B319" t="s">
        <v>98</v>
      </c>
      <c r="C319">
        <v>9.4836919885364968E-2</v>
      </c>
      <c r="D319">
        <v>9.4836919885364968E-2</v>
      </c>
      <c r="E319">
        <v>36.804166666666667</v>
      </c>
      <c r="F319">
        <f t="shared" si="56"/>
        <v>15</v>
      </c>
    </row>
  </sheetData>
  <mergeCells count="15">
    <mergeCell ref="S271:W271"/>
    <mergeCell ref="S270:W270"/>
    <mergeCell ref="Y270:AE271"/>
    <mergeCell ref="S153:W153"/>
    <mergeCell ref="Y153:AE154"/>
    <mergeCell ref="S154:W154"/>
    <mergeCell ref="S211:W211"/>
    <mergeCell ref="Y211:AE212"/>
    <mergeCell ref="S212:W212"/>
    <mergeCell ref="S36:W36"/>
    <mergeCell ref="Y36:AE37"/>
    <mergeCell ref="S37:W37"/>
    <mergeCell ref="S94:W94"/>
    <mergeCell ref="Y94:AE95"/>
    <mergeCell ref="S95:W9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C5A90-FA0D-4E04-A338-BB03B409F37B}">
  <dimension ref="A1:AQ273"/>
  <sheetViews>
    <sheetView topLeftCell="A4" zoomScale="10" zoomScaleNormal="10" workbookViewId="0">
      <selection activeCell="DI159" sqref="DH158:DI159"/>
    </sheetView>
  </sheetViews>
  <sheetFormatPr defaultRowHeight="14.4" x14ac:dyDescent="0.3"/>
  <cols>
    <col min="1" max="1" width="12.77734375" customWidth="1"/>
    <col min="2" max="2" width="15.33203125" customWidth="1"/>
    <col min="3" max="3" width="16.88671875" customWidth="1"/>
    <col min="4" max="4" width="14.5546875" customWidth="1"/>
    <col min="5" max="5" width="14.109375" customWidth="1"/>
    <col min="6" max="6" width="15" customWidth="1"/>
    <col min="7" max="7" width="16.33203125" customWidth="1"/>
    <col min="8" max="8" width="10.44140625" customWidth="1"/>
    <col min="9" max="9" width="12.77734375" customWidth="1"/>
    <col min="10" max="10" width="15" customWidth="1"/>
    <col min="11" max="11" width="18.44140625" customWidth="1"/>
    <col min="13" max="13" width="9.6640625" customWidth="1"/>
    <col min="28" max="28" width="17.77734375" customWidth="1"/>
    <col min="30" max="30" width="13.33203125" bestFit="1" customWidth="1"/>
    <col min="36" max="36" width="15.109375" customWidth="1"/>
  </cols>
  <sheetData>
    <row r="1" spans="1:43" ht="15" thickBot="1" x14ac:dyDescent="0.35">
      <c r="A1" s="79" t="s">
        <v>5</v>
      </c>
      <c r="B1" s="79" t="s">
        <v>6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</row>
    <row r="2" spans="1:43" x14ac:dyDescent="0.3">
      <c r="A2" s="123" t="s">
        <v>1</v>
      </c>
      <c r="B2" s="124"/>
      <c r="C2" s="124"/>
      <c r="D2" s="124"/>
      <c r="E2" s="124"/>
      <c r="F2" s="125"/>
      <c r="G2" s="80"/>
      <c r="H2" s="123" t="s">
        <v>2</v>
      </c>
      <c r="I2" s="124"/>
      <c r="J2" s="124"/>
      <c r="K2" s="124"/>
      <c r="L2" s="124"/>
      <c r="M2" s="125"/>
      <c r="N2" s="80"/>
      <c r="O2" s="81" t="s">
        <v>3</v>
      </c>
      <c r="P2" s="82"/>
      <c r="Q2" s="82"/>
      <c r="R2" s="82"/>
      <c r="S2" s="82"/>
      <c r="T2" s="83"/>
      <c r="U2" s="84" t="s">
        <v>12</v>
      </c>
      <c r="V2" s="85"/>
      <c r="W2" s="85"/>
      <c r="X2" s="85"/>
      <c r="Y2" s="85"/>
      <c r="Z2" s="85"/>
      <c r="AA2" s="86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</row>
    <row r="3" spans="1:43" x14ac:dyDescent="0.3">
      <c r="A3" s="87" t="s">
        <v>11</v>
      </c>
      <c r="B3" s="88"/>
      <c r="C3" s="89" t="s">
        <v>12</v>
      </c>
      <c r="D3" s="88"/>
      <c r="E3" s="89"/>
      <c r="F3" s="90"/>
      <c r="G3" s="80"/>
      <c r="H3" s="87" t="s">
        <v>11</v>
      </c>
      <c r="I3" s="88"/>
      <c r="J3" s="89" t="s">
        <v>12</v>
      </c>
      <c r="K3" s="88"/>
      <c r="L3" s="89"/>
      <c r="M3" s="90"/>
      <c r="N3" s="80"/>
      <c r="O3" s="91" t="s">
        <v>4</v>
      </c>
      <c r="P3" s="92" t="s">
        <v>0</v>
      </c>
      <c r="Q3" s="92" t="s">
        <v>7</v>
      </c>
      <c r="R3" s="93" t="s">
        <v>8</v>
      </c>
      <c r="S3" s="94" t="s">
        <v>9</v>
      </c>
      <c r="T3" s="95" t="s">
        <v>10</v>
      </c>
      <c r="U3" s="96" t="s">
        <v>4</v>
      </c>
      <c r="V3" s="97" t="s">
        <v>0</v>
      </c>
      <c r="W3" s="97" t="s">
        <v>7</v>
      </c>
      <c r="X3" s="98" t="s">
        <v>8</v>
      </c>
      <c r="Y3" s="94" t="s">
        <v>9</v>
      </c>
      <c r="Z3" s="98" t="s">
        <v>10</v>
      </c>
      <c r="AA3" s="99" t="s">
        <v>18</v>
      </c>
      <c r="AB3" s="80"/>
      <c r="AC3" s="80" t="s">
        <v>15</v>
      </c>
      <c r="AD3" s="80">
        <f>SQRT(29)</f>
        <v>5.3851648071345037</v>
      </c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</row>
    <row r="4" spans="1:43" ht="15" thickBot="1" x14ac:dyDescent="0.35">
      <c r="A4" s="87">
        <v>11.14</v>
      </c>
      <c r="B4" s="88">
        <v>289</v>
      </c>
      <c r="C4" s="89">
        <v>11.14</v>
      </c>
      <c r="D4" s="88">
        <v>289</v>
      </c>
      <c r="E4" s="89"/>
      <c r="F4" s="90"/>
      <c r="G4" s="80"/>
      <c r="H4" s="87">
        <v>9.5310000000000006</v>
      </c>
      <c r="I4" s="100">
        <v>289</v>
      </c>
      <c r="J4" s="87">
        <v>9.5310000000000006</v>
      </c>
      <c r="K4" s="100">
        <v>289</v>
      </c>
      <c r="L4" s="89"/>
      <c r="M4" s="90"/>
      <c r="N4" s="80"/>
      <c r="O4" s="101">
        <v>10.016</v>
      </c>
      <c r="P4" s="94">
        <v>365</v>
      </c>
      <c r="Q4" s="94">
        <v>251</v>
      </c>
      <c r="R4" s="89">
        <v>247</v>
      </c>
      <c r="S4" s="94">
        <f>(P4-$B4)/$B4</f>
        <v>0.26297577854671278</v>
      </c>
      <c r="T4" s="90">
        <f>(P4-Q4)/Q4</f>
        <v>0.4541832669322709</v>
      </c>
      <c r="U4" s="101">
        <v>10.016</v>
      </c>
      <c r="V4" s="94">
        <v>365</v>
      </c>
      <c r="W4" s="94">
        <v>251</v>
      </c>
      <c r="X4" s="89">
        <v>247</v>
      </c>
      <c r="Y4" s="94">
        <f>(V4-$B4)/$B4</f>
        <v>0.26297577854671278</v>
      </c>
      <c r="Z4" s="100">
        <f>(V4-W4)/W4</f>
        <v>0.4541832669322709</v>
      </c>
      <c r="AA4" s="95">
        <f>(V4-X4)/X4</f>
        <v>0.47773279352226722</v>
      </c>
      <c r="AB4" s="80"/>
      <c r="AC4" s="80"/>
      <c r="AD4" s="80"/>
      <c r="AE4" s="80" t="s">
        <v>16</v>
      </c>
      <c r="AF4" s="80" t="s">
        <v>7</v>
      </c>
      <c r="AG4" s="80" t="s">
        <v>8</v>
      </c>
      <c r="AH4" s="80"/>
      <c r="AI4" s="80"/>
      <c r="AJ4" s="80"/>
      <c r="AK4" s="80"/>
      <c r="AL4" s="80"/>
      <c r="AM4" s="80"/>
      <c r="AN4" s="80"/>
      <c r="AO4" s="80"/>
      <c r="AP4" s="80"/>
      <c r="AQ4" s="80"/>
    </row>
    <row r="5" spans="1:43" x14ac:dyDescent="0.3">
      <c r="A5" s="102">
        <v>7.2029999999999994</v>
      </c>
      <c r="B5" s="103">
        <v>292</v>
      </c>
      <c r="C5" s="93">
        <v>7.2029999999999994</v>
      </c>
      <c r="D5" s="103">
        <v>292</v>
      </c>
      <c r="E5" s="93"/>
      <c r="F5" s="104"/>
      <c r="G5" s="80"/>
      <c r="H5" s="102">
        <v>6.5469999999999988</v>
      </c>
      <c r="I5" s="80">
        <v>292</v>
      </c>
      <c r="J5" s="102">
        <v>6.5469999999999988</v>
      </c>
      <c r="K5" s="80">
        <v>292</v>
      </c>
      <c r="L5" s="93"/>
      <c r="M5" s="104"/>
      <c r="N5" s="80"/>
      <c r="O5" s="91">
        <v>10.218999999999999</v>
      </c>
      <c r="P5" s="92">
        <v>341</v>
      </c>
      <c r="Q5" s="92">
        <v>265</v>
      </c>
      <c r="R5" s="93">
        <v>233</v>
      </c>
      <c r="S5" s="92">
        <f t="shared" ref="S5:S33" si="0">(P5-$B5)/$B5</f>
        <v>0.1678082191780822</v>
      </c>
      <c r="T5" s="104">
        <f t="shared" ref="T5:T33" si="1">(P5-Q5)/Q5</f>
        <v>0.28679245283018867</v>
      </c>
      <c r="U5" s="91">
        <v>10.218999999999999</v>
      </c>
      <c r="V5" s="92">
        <v>341</v>
      </c>
      <c r="W5" s="92">
        <v>265</v>
      </c>
      <c r="X5" s="93">
        <v>233</v>
      </c>
      <c r="Y5" s="92">
        <f t="shared" ref="Y5:Y33" si="2">(V5-$B5)/$B5</f>
        <v>0.1678082191780822</v>
      </c>
      <c r="Z5" s="80">
        <f t="shared" ref="Z5:Z33" si="3">(V5-W5)/W5</f>
        <v>0.28679245283018867</v>
      </c>
      <c r="AA5" s="105">
        <f t="shared" ref="AA5:AA33" si="4">(V5-X5)/X5</f>
        <v>0.46351931330472101</v>
      </c>
      <c r="AB5" s="80"/>
      <c r="AC5" s="84">
        <v>0</v>
      </c>
      <c r="AD5" s="85">
        <f t="shared" ref="AD5:AD10" si="5">AC5+0.1</f>
        <v>0.1</v>
      </c>
      <c r="AE5" s="84">
        <f>COUNTIFS($Y$4:$Y$33,"&lt;"&amp;AD5,$Y$4:$Y$33,"&gt;="&amp;AC5)/$AE$12</f>
        <v>0</v>
      </c>
      <c r="AF5" s="85">
        <f>COUNTIFS($Z$4:$Z$33,"&lt;"&amp;AD5,$Z$4:$Z$33,"&gt;="&amp;AC5)/$AE$12</f>
        <v>0</v>
      </c>
      <c r="AG5" s="86">
        <f>COUNTIFS($AA$4:$AA$33,"&lt;"&amp;AD5,$AA$4:$AA$33,"&gt;="&amp;AC5)/$AE$12</f>
        <v>0</v>
      </c>
      <c r="AH5" s="86" t="str">
        <f>_xlfn.CONCAT(TEXT(AC5,"0.00"),"-",TEXT(AD5,"0.00"))</f>
        <v>0.00-0.10</v>
      </c>
      <c r="AI5" s="80"/>
      <c r="AJ5" s="80"/>
      <c r="AK5" s="80"/>
      <c r="AL5" s="80"/>
      <c r="AM5" s="80"/>
      <c r="AN5" s="80"/>
      <c r="AO5" s="80"/>
      <c r="AP5" s="80"/>
      <c r="AQ5" s="80"/>
    </row>
    <row r="6" spans="1:43" x14ac:dyDescent="0.3">
      <c r="A6" s="102">
        <v>2.9379999999999988</v>
      </c>
      <c r="B6" s="103">
        <v>296</v>
      </c>
      <c r="C6" s="93">
        <v>2.9379999999999988</v>
      </c>
      <c r="D6" s="103">
        <v>296</v>
      </c>
      <c r="E6" s="93"/>
      <c r="F6" s="104"/>
      <c r="G6" s="80"/>
      <c r="H6" s="102">
        <v>3.5940000000000012</v>
      </c>
      <c r="I6" s="80">
        <v>296</v>
      </c>
      <c r="J6" s="102">
        <v>3.5940000000000012</v>
      </c>
      <c r="K6" s="80">
        <v>296</v>
      </c>
      <c r="L6" s="93"/>
      <c r="M6" s="104"/>
      <c r="N6" s="80"/>
      <c r="O6" s="91">
        <v>9.39</v>
      </c>
      <c r="P6" s="92">
        <v>399</v>
      </c>
      <c r="Q6" s="92">
        <v>256</v>
      </c>
      <c r="R6" s="93">
        <v>246</v>
      </c>
      <c r="S6" s="92">
        <f t="shared" si="0"/>
        <v>0.34797297297297297</v>
      </c>
      <c r="T6" s="104">
        <f t="shared" si="1"/>
        <v>0.55859375</v>
      </c>
      <c r="U6" s="91">
        <v>9.39</v>
      </c>
      <c r="V6" s="92">
        <v>399</v>
      </c>
      <c r="W6" s="92">
        <v>256</v>
      </c>
      <c r="X6" s="93">
        <v>246</v>
      </c>
      <c r="Y6" s="92">
        <f t="shared" si="2"/>
        <v>0.34797297297297297</v>
      </c>
      <c r="Z6" s="80">
        <f t="shared" si="3"/>
        <v>0.55859375</v>
      </c>
      <c r="AA6" s="105">
        <f t="shared" si="4"/>
        <v>0.62195121951219512</v>
      </c>
      <c r="AB6" s="80"/>
      <c r="AC6" s="102">
        <f t="shared" ref="AC6:AC11" si="6">AD5</f>
        <v>0.1</v>
      </c>
      <c r="AD6" s="80">
        <f t="shared" si="5"/>
        <v>0.2</v>
      </c>
      <c r="AE6" s="102">
        <f t="shared" ref="AE6:AE11" si="7">COUNTIFS($Y$4:$Y$33,"&lt;"&amp;AD6,$Y$4:$Y$33,"&gt;="&amp;AC6)/$AE$12</f>
        <v>0.32142857142857145</v>
      </c>
      <c r="AF6" s="80">
        <f t="shared" ref="AF6:AF11" si="8">COUNTIFS($Z$4:$Z$33,"&lt;"&amp;AD6,$Z$4:$Z$33,"&gt;="&amp;AC6)/$AE$12</f>
        <v>0</v>
      </c>
      <c r="AG6" s="104">
        <f t="shared" ref="AG6:AG11" si="9">COUNTIFS($AA$4:$AA$33,"&lt;"&amp;AD6,$AA$4:$AA$33,"&gt;="&amp;AC6)/$AE$12</f>
        <v>0</v>
      </c>
      <c r="AH6" s="104" t="str">
        <f t="shared" ref="AH6:AH11" si="10">_xlfn.CONCAT(TEXT(AC6,"0.00"),"-",TEXT(AD6,"0.00"))</f>
        <v>0.10-0.20</v>
      </c>
      <c r="AI6" s="80"/>
      <c r="AJ6" s="80"/>
      <c r="AK6" s="80"/>
      <c r="AL6" s="80"/>
      <c r="AM6" s="80"/>
      <c r="AN6" s="80"/>
      <c r="AO6" s="80"/>
      <c r="AP6" s="80"/>
      <c r="AQ6" s="80"/>
    </row>
    <row r="7" spans="1:43" x14ac:dyDescent="0.3">
      <c r="A7" s="102">
        <v>1.9370000000000012</v>
      </c>
      <c r="B7" s="103">
        <v>284</v>
      </c>
      <c r="C7" s="93">
        <v>1.9370000000000012</v>
      </c>
      <c r="D7" s="103">
        <v>284</v>
      </c>
      <c r="E7" s="93"/>
      <c r="F7" s="104"/>
      <c r="G7" s="80"/>
      <c r="H7" s="102">
        <v>2.9379999999999988</v>
      </c>
      <c r="I7" s="80">
        <v>284</v>
      </c>
      <c r="J7" s="102">
        <v>2.9379999999999988</v>
      </c>
      <c r="K7" s="80">
        <v>284</v>
      </c>
      <c r="L7" s="93"/>
      <c r="M7" s="104"/>
      <c r="N7" s="80"/>
      <c r="O7" s="91">
        <v>9.2349999999999994</v>
      </c>
      <c r="P7" s="92">
        <v>381</v>
      </c>
      <c r="Q7" s="92">
        <v>248</v>
      </c>
      <c r="R7" s="93">
        <v>243</v>
      </c>
      <c r="S7" s="92">
        <f t="shared" si="0"/>
        <v>0.34154929577464788</v>
      </c>
      <c r="T7" s="104">
        <f t="shared" si="1"/>
        <v>0.53629032258064513</v>
      </c>
      <c r="U7" s="91">
        <v>9.2349999999999994</v>
      </c>
      <c r="V7" s="92">
        <v>381</v>
      </c>
      <c r="W7" s="92">
        <v>248</v>
      </c>
      <c r="X7" s="93">
        <v>243</v>
      </c>
      <c r="Y7" s="92">
        <f t="shared" si="2"/>
        <v>0.34154929577464788</v>
      </c>
      <c r="Z7" s="80">
        <f t="shared" si="3"/>
        <v>0.53629032258064513</v>
      </c>
      <c r="AA7" s="105">
        <f t="shared" si="4"/>
        <v>0.5679012345679012</v>
      </c>
      <c r="AB7" s="80"/>
      <c r="AC7" s="102">
        <f t="shared" si="6"/>
        <v>0.2</v>
      </c>
      <c r="AD7" s="80">
        <f t="shared" si="5"/>
        <v>0.30000000000000004</v>
      </c>
      <c r="AE7" s="102">
        <f t="shared" si="7"/>
        <v>0.5</v>
      </c>
      <c r="AF7" s="80">
        <f t="shared" si="8"/>
        <v>0.2857142857142857</v>
      </c>
      <c r="AG7" s="104">
        <f t="shared" si="9"/>
        <v>0</v>
      </c>
      <c r="AH7" s="104" t="str">
        <f t="shared" si="10"/>
        <v>0.20-0.30</v>
      </c>
      <c r="AI7" s="80"/>
      <c r="AJ7" s="80"/>
      <c r="AK7" s="80"/>
      <c r="AL7" s="80"/>
      <c r="AM7" s="80"/>
      <c r="AN7" s="80"/>
      <c r="AO7" s="80"/>
      <c r="AP7" s="80"/>
      <c r="AQ7" s="80"/>
    </row>
    <row r="8" spans="1:43" x14ac:dyDescent="0.3">
      <c r="A8" s="102">
        <v>25.077999999999999</v>
      </c>
      <c r="B8" s="103">
        <v>309</v>
      </c>
      <c r="C8" s="93">
        <v>25.077999999999999</v>
      </c>
      <c r="D8" s="103">
        <v>309</v>
      </c>
      <c r="E8" s="93"/>
      <c r="F8" s="104"/>
      <c r="G8" s="80"/>
      <c r="H8" s="102">
        <v>18.405999999999999</v>
      </c>
      <c r="I8" s="80">
        <v>309</v>
      </c>
      <c r="J8" s="102">
        <v>18.405999999999999</v>
      </c>
      <c r="K8" s="80">
        <v>309</v>
      </c>
      <c r="L8" s="93"/>
      <c r="M8" s="104"/>
      <c r="N8" s="80"/>
      <c r="O8" s="91">
        <v>11.905999999999999</v>
      </c>
      <c r="P8" s="92">
        <v>408</v>
      </c>
      <c r="Q8" s="92">
        <v>278</v>
      </c>
      <c r="R8" s="93">
        <v>227</v>
      </c>
      <c r="S8" s="92">
        <f t="shared" si="0"/>
        <v>0.32038834951456313</v>
      </c>
      <c r="T8" s="104">
        <f t="shared" si="1"/>
        <v>0.46762589928057552</v>
      </c>
      <c r="U8" s="91">
        <v>11.905999999999999</v>
      </c>
      <c r="V8" s="92">
        <v>408</v>
      </c>
      <c r="W8" s="92">
        <v>278</v>
      </c>
      <c r="X8" s="93">
        <v>227</v>
      </c>
      <c r="Y8" s="92">
        <f t="shared" si="2"/>
        <v>0.32038834951456313</v>
      </c>
      <c r="Z8" s="80">
        <f t="shared" si="3"/>
        <v>0.46762589928057552</v>
      </c>
      <c r="AA8" s="105">
        <f t="shared" si="4"/>
        <v>0.79735682819383258</v>
      </c>
      <c r="AB8" s="80"/>
      <c r="AC8" s="102">
        <f t="shared" si="6"/>
        <v>0.30000000000000004</v>
      </c>
      <c r="AD8" s="80">
        <f t="shared" si="5"/>
        <v>0.4</v>
      </c>
      <c r="AE8" s="102">
        <f t="shared" si="7"/>
        <v>0.10714285714285714</v>
      </c>
      <c r="AF8" s="80">
        <f t="shared" si="8"/>
        <v>0.39285714285714285</v>
      </c>
      <c r="AG8" s="104">
        <f t="shared" si="9"/>
        <v>0.10714285714285714</v>
      </c>
      <c r="AH8" s="104" t="str">
        <f t="shared" si="10"/>
        <v>0.30-0.40</v>
      </c>
      <c r="AI8" s="80"/>
      <c r="AJ8" s="80">
        <f>AVERAGE(Y4:Y33)</f>
        <v>0.24354091820449245</v>
      </c>
      <c r="AK8" s="80">
        <f>AVERAGE(Z4:Z33)</f>
        <v>0.36639738467618554</v>
      </c>
      <c r="AL8" s="80">
        <f>AVERAGE(AA4:AA33)</f>
        <v>0.52874865068341148</v>
      </c>
      <c r="AM8" s="80"/>
      <c r="AN8" s="80"/>
      <c r="AO8" s="80"/>
      <c r="AP8" s="80"/>
      <c r="AQ8" s="80"/>
    </row>
    <row r="9" spans="1:43" x14ac:dyDescent="0.3">
      <c r="A9" s="102">
        <v>19.687999999999995</v>
      </c>
      <c r="B9" s="103">
        <v>284</v>
      </c>
      <c r="C9" s="93">
        <v>19.687999999999995</v>
      </c>
      <c r="D9" s="103">
        <v>284</v>
      </c>
      <c r="E9" s="93"/>
      <c r="F9" s="104"/>
      <c r="G9" s="80"/>
      <c r="H9" s="102">
        <v>63.047000000000004</v>
      </c>
      <c r="I9" s="80">
        <v>284</v>
      </c>
      <c r="J9" s="102">
        <v>63.047000000000004</v>
      </c>
      <c r="K9" s="80">
        <v>284</v>
      </c>
      <c r="L9" s="93"/>
      <c r="M9" s="104"/>
      <c r="N9" s="80"/>
      <c r="O9" s="91">
        <v>11.390999999999998</v>
      </c>
      <c r="P9" s="92">
        <v>337</v>
      </c>
      <c r="Q9" s="92">
        <v>269</v>
      </c>
      <c r="R9" s="93">
        <v>227</v>
      </c>
      <c r="S9" s="92">
        <f t="shared" si="0"/>
        <v>0.18661971830985916</v>
      </c>
      <c r="T9" s="104">
        <f t="shared" si="1"/>
        <v>0.25278810408921931</v>
      </c>
      <c r="U9" s="91">
        <v>11.390999999999998</v>
      </c>
      <c r="V9" s="92">
        <v>337</v>
      </c>
      <c r="W9" s="92">
        <v>269</v>
      </c>
      <c r="X9" s="93">
        <v>227</v>
      </c>
      <c r="Y9" s="92">
        <f t="shared" si="2"/>
        <v>0.18661971830985916</v>
      </c>
      <c r="Z9" s="80">
        <f t="shared" si="3"/>
        <v>0.25278810408921931</v>
      </c>
      <c r="AA9" s="105">
        <f t="shared" si="4"/>
        <v>0.48458149779735682</v>
      </c>
      <c r="AB9" s="80"/>
      <c r="AC9" s="102">
        <f t="shared" si="6"/>
        <v>0.4</v>
      </c>
      <c r="AD9" s="80">
        <f t="shared" si="5"/>
        <v>0.5</v>
      </c>
      <c r="AE9" s="102">
        <f t="shared" si="7"/>
        <v>7.1428571428571425E-2</v>
      </c>
      <c r="AF9" s="80">
        <f t="shared" si="8"/>
        <v>0.21428571428571427</v>
      </c>
      <c r="AG9" s="104">
        <f t="shared" si="9"/>
        <v>0.39285714285714285</v>
      </c>
      <c r="AH9" s="104" t="str">
        <f t="shared" si="10"/>
        <v>0.40-0.50</v>
      </c>
      <c r="AI9" s="80"/>
      <c r="AJ9" s="80"/>
      <c r="AK9" s="80"/>
      <c r="AL9" s="80"/>
      <c r="AM9" s="80"/>
      <c r="AN9" s="80"/>
      <c r="AO9" s="80"/>
      <c r="AP9" s="80"/>
      <c r="AQ9" s="80"/>
    </row>
    <row r="10" spans="1:43" x14ac:dyDescent="0.3">
      <c r="A10" s="102">
        <v>7.1720000000000113</v>
      </c>
      <c r="B10" s="103">
        <v>260</v>
      </c>
      <c r="C10" s="93">
        <v>7.1720000000000113</v>
      </c>
      <c r="D10" s="103">
        <v>260</v>
      </c>
      <c r="E10" s="93"/>
      <c r="F10" s="104"/>
      <c r="G10" s="80"/>
      <c r="H10" s="102">
        <v>4.6869999999999976</v>
      </c>
      <c r="I10" s="80">
        <v>260</v>
      </c>
      <c r="J10" s="102">
        <v>4.6869999999999976</v>
      </c>
      <c r="K10" s="80">
        <v>260</v>
      </c>
      <c r="L10" s="93"/>
      <c r="M10" s="104"/>
      <c r="N10" s="80"/>
      <c r="O10" s="91">
        <v>11.234000000000009</v>
      </c>
      <c r="P10" s="92">
        <v>301</v>
      </c>
      <c r="Q10" s="92">
        <v>249</v>
      </c>
      <c r="R10" s="93">
        <v>219</v>
      </c>
      <c r="S10" s="92">
        <f t="shared" si="0"/>
        <v>0.15769230769230769</v>
      </c>
      <c r="T10" s="104">
        <f t="shared" si="1"/>
        <v>0.20883534136546184</v>
      </c>
      <c r="U10" s="91">
        <v>11.234000000000009</v>
      </c>
      <c r="V10" s="92">
        <v>301</v>
      </c>
      <c r="W10" s="92">
        <v>249</v>
      </c>
      <c r="X10" s="93">
        <v>219</v>
      </c>
      <c r="Y10" s="92">
        <f t="shared" si="2"/>
        <v>0.15769230769230769</v>
      </c>
      <c r="Z10" s="80">
        <f t="shared" si="3"/>
        <v>0.20883534136546184</v>
      </c>
      <c r="AA10" s="105">
        <f t="shared" si="4"/>
        <v>0.37442922374429222</v>
      </c>
      <c r="AB10" s="80"/>
      <c r="AC10" s="102">
        <f t="shared" si="6"/>
        <v>0.5</v>
      </c>
      <c r="AD10" s="80">
        <f t="shared" si="5"/>
        <v>0.6</v>
      </c>
      <c r="AE10" s="102">
        <f t="shared" si="7"/>
        <v>0</v>
      </c>
      <c r="AF10" s="80">
        <f t="shared" si="8"/>
        <v>0.10714285714285714</v>
      </c>
      <c r="AG10" s="104">
        <f t="shared" si="9"/>
        <v>0.35714285714285715</v>
      </c>
      <c r="AH10" s="104" t="str">
        <f t="shared" si="10"/>
        <v>0.50-0.60</v>
      </c>
      <c r="AI10" s="80"/>
      <c r="AJ10" s="80"/>
      <c r="AK10" s="80"/>
      <c r="AL10" s="80"/>
      <c r="AM10" s="80"/>
      <c r="AN10" s="80"/>
      <c r="AO10" s="80"/>
      <c r="AP10" s="80"/>
      <c r="AQ10" s="80"/>
    </row>
    <row r="11" spans="1:43" ht="15" thickBot="1" x14ac:dyDescent="0.35">
      <c r="A11" s="102">
        <v>9.7339999999999947</v>
      </c>
      <c r="B11" s="103">
        <v>294</v>
      </c>
      <c r="C11" s="93">
        <v>9.7339999999999947</v>
      </c>
      <c r="D11" s="103">
        <v>294</v>
      </c>
      <c r="E11" s="93"/>
      <c r="F11" s="104"/>
      <c r="G11" s="80"/>
      <c r="H11" s="102">
        <v>8.421999999999997</v>
      </c>
      <c r="I11" s="80">
        <v>294</v>
      </c>
      <c r="J11" s="102">
        <v>8.421999999999997</v>
      </c>
      <c r="K11" s="80">
        <v>294</v>
      </c>
      <c r="L11" s="93"/>
      <c r="M11" s="104"/>
      <c r="N11" s="80"/>
      <c r="O11" s="91">
        <v>10.796999999999997</v>
      </c>
      <c r="P11" s="92">
        <v>378</v>
      </c>
      <c r="Q11" s="92">
        <v>263</v>
      </c>
      <c r="R11" s="93">
        <v>251</v>
      </c>
      <c r="S11" s="92">
        <f t="shared" si="0"/>
        <v>0.2857142857142857</v>
      </c>
      <c r="T11" s="104">
        <f t="shared" si="1"/>
        <v>0.43726235741444869</v>
      </c>
      <c r="U11" s="91">
        <v>10.796999999999997</v>
      </c>
      <c r="V11" s="92">
        <v>378</v>
      </c>
      <c r="W11" s="92">
        <v>263</v>
      </c>
      <c r="X11" s="93">
        <v>251</v>
      </c>
      <c r="Y11" s="92">
        <f t="shared" si="2"/>
        <v>0.2857142857142857</v>
      </c>
      <c r="Z11" s="80">
        <f t="shared" si="3"/>
        <v>0.43726235741444869</v>
      </c>
      <c r="AA11" s="105">
        <f t="shared" si="4"/>
        <v>0.50597609561752988</v>
      </c>
      <c r="AB11" s="80"/>
      <c r="AC11" s="106">
        <f t="shared" si="6"/>
        <v>0.6</v>
      </c>
      <c r="AD11" s="107">
        <f>1</f>
        <v>1</v>
      </c>
      <c r="AE11" s="106">
        <f t="shared" si="7"/>
        <v>0</v>
      </c>
      <c r="AF11" s="107">
        <f t="shared" si="8"/>
        <v>0</v>
      </c>
      <c r="AG11" s="108">
        <f t="shared" si="9"/>
        <v>0.14285714285714285</v>
      </c>
      <c r="AH11" s="108" t="str">
        <f t="shared" si="10"/>
        <v>0.60-1.00</v>
      </c>
      <c r="AI11" s="80"/>
      <c r="AJ11" s="80"/>
      <c r="AK11" s="80"/>
      <c r="AL11" s="80"/>
      <c r="AM11" s="80"/>
      <c r="AN11" s="80"/>
      <c r="AO11" s="80"/>
      <c r="AP11" s="80"/>
      <c r="AQ11" s="80"/>
    </row>
    <row r="12" spans="1:43" x14ac:dyDescent="0.3">
      <c r="A12" s="102">
        <v>10.203000000000003</v>
      </c>
      <c r="B12" s="103">
        <v>279</v>
      </c>
      <c r="C12" s="93">
        <v>10.203000000000003</v>
      </c>
      <c r="D12" s="103">
        <v>279</v>
      </c>
      <c r="E12" s="93"/>
      <c r="F12" s="104"/>
      <c r="G12" s="80"/>
      <c r="H12" s="102">
        <v>12.313000000000017</v>
      </c>
      <c r="I12" s="80">
        <v>279</v>
      </c>
      <c r="J12" s="102">
        <v>12.313000000000017</v>
      </c>
      <c r="K12" s="80">
        <v>279</v>
      </c>
      <c r="L12" s="93"/>
      <c r="M12" s="104"/>
      <c r="N12" s="80"/>
      <c r="O12" s="91">
        <v>10.390999999999991</v>
      </c>
      <c r="P12" s="92">
        <v>338</v>
      </c>
      <c r="Q12" s="92">
        <v>253</v>
      </c>
      <c r="R12" s="93">
        <v>243</v>
      </c>
      <c r="S12" s="92">
        <f t="shared" si="0"/>
        <v>0.21146953405017921</v>
      </c>
      <c r="T12" s="104">
        <f t="shared" si="1"/>
        <v>0.33596837944664032</v>
      </c>
      <c r="U12" s="91">
        <v>10.390999999999991</v>
      </c>
      <c r="V12" s="92">
        <v>338</v>
      </c>
      <c r="W12" s="92">
        <v>253</v>
      </c>
      <c r="X12" s="93">
        <v>243</v>
      </c>
      <c r="Y12" s="92">
        <f t="shared" si="2"/>
        <v>0.21146953405017921</v>
      </c>
      <c r="Z12" s="80">
        <f t="shared" si="3"/>
        <v>0.33596837944664032</v>
      </c>
      <c r="AA12" s="105">
        <f t="shared" si="4"/>
        <v>0.39094650205761317</v>
      </c>
      <c r="AB12" s="80"/>
      <c r="AC12" s="80"/>
      <c r="AD12" s="80"/>
      <c r="AE12" s="80">
        <v>28</v>
      </c>
      <c r="AF12" s="80">
        <v>28</v>
      </c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</row>
    <row r="13" spans="1:43" x14ac:dyDescent="0.3">
      <c r="A13" s="102">
        <v>3.3439999999999941</v>
      </c>
      <c r="B13" s="103">
        <v>281</v>
      </c>
      <c r="C13" s="93">
        <v>3.3439999999999941</v>
      </c>
      <c r="D13" s="103">
        <v>281</v>
      </c>
      <c r="E13" s="93"/>
      <c r="F13" s="104"/>
      <c r="G13" s="80"/>
      <c r="H13" s="102">
        <v>5.3899999999999864</v>
      </c>
      <c r="I13" s="80">
        <v>281</v>
      </c>
      <c r="J13" s="102">
        <v>5.3899999999999864</v>
      </c>
      <c r="K13" s="80">
        <v>281</v>
      </c>
      <c r="L13" s="93"/>
      <c r="M13" s="104"/>
      <c r="N13" s="80"/>
      <c r="O13" s="91">
        <v>11.625</v>
      </c>
      <c r="P13" s="92">
        <v>350</v>
      </c>
      <c r="Q13" s="92">
        <v>251</v>
      </c>
      <c r="R13" s="93">
        <v>224</v>
      </c>
      <c r="S13" s="92">
        <f t="shared" si="0"/>
        <v>0.24555160142348753</v>
      </c>
      <c r="T13" s="104">
        <f t="shared" si="1"/>
        <v>0.39442231075697209</v>
      </c>
      <c r="U13" s="91">
        <v>11.625</v>
      </c>
      <c r="V13" s="92">
        <v>350</v>
      </c>
      <c r="W13" s="92">
        <v>251</v>
      </c>
      <c r="X13" s="93">
        <v>224</v>
      </c>
      <c r="Y13" s="92">
        <f t="shared" si="2"/>
        <v>0.24555160142348753</v>
      </c>
      <c r="Z13" s="80">
        <f t="shared" si="3"/>
        <v>0.39442231075697209</v>
      </c>
      <c r="AA13" s="105">
        <f t="shared" si="4"/>
        <v>0.5625</v>
      </c>
      <c r="AB13" s="80"/>
      <c r="AC13" s="80"/>
      <c r="AD13" s="80"/>
      <c r="AE13" s="80">
        <f>SUM(AE5:AE11)</f>
        <v>0.99999999999999989</v>
      </c>
      <c r="AF13" s="80">
        <f>SUM(AF5:AF11)</f>
        <v>1</v>
      </c>
      <c r="AG13" s="80">
        <f>SUM(AG5:AG11)</f>
        <v>1</v>
      </c>
      <c r="AH13" s="80"/>
      <c r="AI13" s="80"/>
      <c r="AJ13" s="80"/>
      <c r="AK13" s="80"/>
      <c r="AL13" s="80"/>
      <c r="AM13" s="80"/>
      <c r="AN13" s="80"/>
      <c r="AO13" s="80"/>
      <c r="AP13" s="80"/>
      <c r="AQ13" s="80"/>
    </row>
    <row r="14" spans="1:43" x14ac:dyDescent="0.3">
      <c r="A14" s="102">
        <v>16.906000000000006</v>
      </c>
      <c r="B14" s="103">
        <v>281</v>
      </c>
      <c r="C14" s="93">
        <v>16.906000000000006</v>
      </c>
      <c r="D14" s="103">
        <v>281</v>
      </c>
      <c r="E14" s="93"/>
      <c r="F14" s="104"/>
      <c r="G14" s="80"/>
      <c r="H14" s="102">
        <v>16.390999999999991</v>
      </c>
      <c r="I14" s="80">
        <v>281</v>
      </c>
      <c r="J14" s="102">
        <v>16.390999999999991</v>
      </c>
      <c r="K14" s="80">
        <v>281</v>
      </c>
      <c r="L14" s="93"/>
      <c r="M14" s="104"/>
      <c r="N14" s="80"/>
      <c r="O14" s="91">
        <v>11.203000000000003</v>
      </c>
      <c r="P14" s="92">
        <v>338</v>
      </c>
      <c r="Q14" s="92">
        <v>253</v>
      </c>
      <c r="R14" s="93">
        <v>253</v>
      </c>
      <c r="S14" s="92">
        <f t="shared" si="0"/>
        <v>0.20284697508896798</v>
      </c>
      <c r="T14" s="104">
        <f t="shared" si="1"/>
        <v>0.33596837944664032</v>
      </c>
      <c r="U14" s="91">
        <v>11.203000000000003</v>
      </c>
      <c r="V14" s="92">
        <v>338</v>
      </c>
      <c r="W14" s="92">
        <v>253</v>
      </c>
      <c r="X14" s="93">
        <v>253</v>
      </c>
      <c r="Y14" s="92">
        <f t="shared" si="2"/>
        <v>0.20284697508896798</v>
      </c>
      <c r="Z14" s="80">
        <f t="shared" si="3"/>
        <v>0.33596837944664032</v>
      </c>
      <c r="AA14" s="105">
        <f t="shared" si="4"/>
        <v>0.33596837944664032</v>
      </c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</row>
    <row r="15" spans="1:43" x14ac:dyDescent="0.3">
      <c r="A15" s="102">
        <v>9.453000000000003</v>
      </c>
      <c r="B15" s="103">
        <v>292</v>
      </c>
      <c r="C15" s="93">
        <v>9.453000000000003</v>
      </c>
      <c r="D15" s="103">
        <v>292</v>
      </c>
      <c r="E15" s="93"/>
      <c r="F15" s="104"/>
      <c r="G15" s="80"/>
      <c r="H15" s="102">
        <v>15.015000000000015</v>
      </c>
      <c r="I15" s="80">
        <v>292</v>
      </c>
      <c r="J15" s="102">
        <v>15.015000000000015</v>
      </c>
      <c r="K15" s="80">
        <v>292</v>
      </c>
      <c r="L15" s="93"/>
      <c r="M15" s="104"/>
      <c r="N15" s="80"/>
      <c r="O15" s="91">
        <v>10.421999999999997</v>
      </c>
      <c r="P15" s="92">
        <v>360</v>
      </c>
      <c r="Q15" s="92">
        <v>251</v>
      </c>
      <c r="R15" s="93">
        <v>228</v>
      </c>
      <c r="S15" s="92">
        <f t="shared" si="0"/>
        <v>0.23287671232876711</v>
      </c>
      <c r="T15" s="104">
        <f t="shared" si="1"/>
        <v>0.43426294820717132</v>
      </c>
      <c r="U15" s="91">
        <v>10.421999999999997</v>
      </c>
      <c r="V15" s="92">
        <v>360</v>
      </c>
      <c r="W15" s="92">
        <v>251</v>
      </c>
      <c r="X15" s="93">
        <v>228</v>
      </c>
      <c r="Y15" s="92">
        <f t="shared" si="2"/>
        <v>0.23287671232876711</v>
      </c>
      <c r="Z15" s="80">
        <f t="shared" si="3"/>
        <v>0.43426294820717132</v>
      </c>
      <c r="AA15" s="105">
        <f t="shared" si="4"/>
        <v>0.57894736842105265</v>
      </c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</row>
    <row r="16" spans="1:43" x14ac:dyDescent="0.3">
      <c r="A16" s="102">
        <v>6.2819999999999965</v>
      </c>
      <c r="B16" s="103">
        <v>275</v>
      </c>
      <c r="C16" s="93">
        <v>6.2819999999999965</v>
      </c>
      <c r="D16" s="103">
        <v>275</v>
      </c>
      <c r="E16" s="93"/>
      <c r="F16" s="104"/>
      <c r="G16" s="80"/>
      <c r="H16" s="102">
        <v>9.375</v>
      </c>
      <c r="I16" s="80">
        <v>275</v>
      </c>
      <c r="J16" s="102">
        <v>9.375</v>
      </c>
      <c r="K16" s="80">
        <v>275</v>
      </c>
      <c r="L16" s="93"/>
      <c r="M16" s="104"/>
      <c r="N16" s="80"/>
      <c r="O16" s="91">
        <v>10.78100000000002</v>
      </c>
      <c r="P16" s="92">
        <v>324</v>
      </c>
      <c r="Q16" s="92">
        <v>255</v>
      </c>
      <c r="R16" s="93">
        <v>217</v>
      </c>
      <c r="S16" s="92">
        <f t="shared" si="0"/>
        <v>0.17818181818181819</v>
      </c>
      <c r="T16" s="104">
        <f t="shared" si="1"/>
        <v>0.27058823529411763</v>
      </c>
      <c r="U16" s="91">
        <v>10.78100000000002</v>
      </c>
      <c r="V16" s="92">
        <v>324</v>
      </c>
      <c r="W16" s="92">
        <v>255</v>
      </c>
      <c r="X16" s="93">
        <v>217</v>
      </c>
      <c r="Y16" s="92">
        <f t="shared" si="2"/>
        <v>0.17818181818181819</v>
      </c>
      <c r="Z16" s="80">
        <f t="shared" si="3"/>
        <v>0.27058823529411763</v>
      </c>
      <c r="AA16" s="105">
        <f t="shared" si="4"/>
        <v>0.49308755760368661</v>
      </c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</row>
    <row r="17" spans="1:43" x14ac:dyDescent="0.3">
      <c r="A17" s="102">
        <v>35.703000000000003</v>
      </c>
      <c r="B17" s="103">
        <v>288</v>
      </c>
      <c r="C17" s="93">
        <v>35.703000000000003</v>
      </c>
      <c r="D17" s="103">
        <v>288</v>
      </c>
      <c r="E17" s="93"/>
      <c r="F17" s="104"/>
      <c r="G17" s="80"/>
      <c r="H17" s="102">
        <v>15.515999999999991</v>
      </c>
      <c r="I17" s="80">
        <v>288</v>
      </c>
      <c r="J17" s="102">
        <v>15.515999999999991</v>
      </c>
      <c r="K17" s="80">
        <v>288</v>
      </c>
      <c r="L17" s="93"/>
      <c r="M17" s="104"/>
      <c r="N17" s="80"/>
      <c r="O17" s="91">
        <v>11.061999999999983</v>
      </c>
      <c r="P17" s="92">
        <v>358</v>
      </c>
      <c r="Q17" s="92">
        <v>253</v>
      </c>
      <c r="R17" s="93">
        <v>225</v>
      </c>
      <c r="S17" s="92">
        <f t="shared" si="0"/>
        <v>0.24305555555555555</v>
      </c>
      <c r="T17" s="104">
        <f t="shared" si="1"/>
        <v>0.41501976284584979</v>
      </c>
      <c r="U17" s="91">
        <v>11.061999999999983</v>
      </c>
      <c r="V17" s="92">
        <v>358</v>
      </c>
      <c r="W17" s="92">
        <v>253</v>
      </c>
      <c r="X17" s="93">
        <v>225</v>
      </c>
      <c r="Y17" s="92">
        <f t="shared" si="2"/>
        <v>0.24305555555555555</v>
      </c>
      <c r="Z17" s="80">
        <f t="shared" si="3"/>
        <v>0.41501976284584979</v>
      </c>
      <c r="AA17" s="105">
        <f t="shared" si="4"/>
        <v>0.59111111111111114</v>
      </c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</row>
    <row r="18" spans="1:43" x14ac:dyDescent="0.3">
      <c r="A18" s="102">
        <v>11.764999999999986</v>
      </c>
      <c r="B18" s="103">
        <v>294</v>
      </c>
      <c r="C18" s="93">
        <v>11.764999999999986</v>
      </c>
      <c r="D18" s="103">
        <v>294</v>
      </c>
      <c r="E18" s="93"/>
      <c r="F18" s="104"/>
      <c r="G18" s="80"/>
      <c r="H18" s="102">
        <v>17.656000000000006</v>
      </c>
      <c r="I18" s="80">
        <v>295</v>
      </c>
      <c r="J18" s="102">
        <v>17.656000000000006</v>
      </c>
      <c r="K18" s="80">
        <v>294</v>
      </c>
      <c r="L18" s="93"/>
      <c r="M18" s="104"/>
      <c r="N18" s="80"/>
      <c r="O18" s="91">
        <v>10.735000000000014</v>
      </c>
      <c r="P18" s="92">
        <v>345</v>
      </c>
      <c r="Q18" s="92">
        <v>269</v>
      </c>
      <c r="R18" s="93">
        <v>245</v>
      </c>
      <c r="S18" s="92">
        <f t="shared" si="0"/>
        <v>0.17346938775510204</v>
      </c>
      <c r="T18" s="104">
        <f t="shared" si="1"/>
        <v>0.28252788104089221</v>
      </c>
      <c r="U18" s="91">
        <v>10.735000000000014</v>
      </c>
      <c r="V18" s="92">
        <v>345</v>
      </c>
      <c r="W18" s="92">
        <v>269</v>
      </c>
      <c r="X18" s="93">
        <v>245</v>
      </c>
      <c r="Y18" s="92">
        <f t="shared" si="2"/>
        <v>0.17346938775510204</v>
      </c>
      <c r="Z18" s="80">
        <f t="shared" si="3"/>
        <v>0.28252788104089221</v>
      </c>
      <c r="AA18" s="105">
        <f t="shared" si="4"/>
        <v>0.40816326530612246</v>
      </c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</row>
    <row r="19" spans="1:43" x14ac:dyDescent="0.3">
      <c r="A19" s="102">
        <v>7.5790000000000077</v>
      </c>
      <c r="B19" s="103">
        <v>295</v>
      </c>
      <c r="C19" s="93">
        <v>7.5790000000000077</v>
      </c>
      <c r="D19" s="103">
        <v>295</v>
      </c>
      <c r="E19" s="93"/>
      <c r="F19" s="104"/>
      <c r="G19" s="80"/>
      <c r="H19" s="102">
        <v>8.5939999999999941</v>
      </c>
      <c r="I19" s="80">
        <v>295</v>
      </c>
      <c r="J19" s="102">
        <v>8.5939999999999941</v>
      </c>
      <c r="K19" s="80">
        <v>295</v>
      </c>
      <c r="L19" s="93"/>
      <c r="M19" s="104"/>
      <c r="N19" s="80"/>
      <c r="O19" s="91">
        <v>11.217999999999989</v>
      </c>
      <c r="P19" s="92">
        <v>363</v>
      </c>
      <c r="Q19" s="92">
        <v>281</v>
      </c>
      <c r="R19" s="93">
        <v>238</v>
      </c>
      <c r="S19" s="92">
        <f t="shared" si="0"/>
        <v>0.23050847457627119</v>
      </c>
      <c r="T19" s="104">
        <f t="shared" si="1"/>
        <v>0.29181494661921709</v>
      </c>
      <c r="U19" s="91">
        <v>11.217999999999989</v>
      </c>
      <c r="V19" s="92">
        <v>363</v>
      </c>
      <c r="W19" s="92">
        <v>281</v>
      </c>
      <c r="X19" s="93">
        <v>238</v>
      </c>
      <c r="Y19" s="92">
        <f t="shared" si="2"/>
        <v>0.23050847457627119</v>
      </c>
      <c r="Z19" s="80">
        <f t="shared" si="3"/>
        <v>0.29181494661921709</v>
      </c>
      <c r="AA19" s="105">
        <f t="shared" si="4"/>
        <v>0.52521008403361347</v>
      </c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</row>
    <row r="20" spans="1:43" x14ac:dyDescent="0.3">
      <c r="A20" s="102">
        <v>7.1709999999999923</v>
      </c>
      <c r="B20" s="103">
        <v>298</v>
      </c>
      <c r="C20" s="93">
        <v>7.1709999999999923</v>
      </c>
      <c r="D20" s="103">
        <v>298</v>
      </c>
      <c r="E20" s="93"/>
      <c r="F20" s="104"/>
      <c r="G20" s="80"/>
      <c r="H20" s="102">
        <v>9.453000000000003</v>
      </c>
      <c r="I20" s="80">
        <v>298</v>
      </c>
      <c r="J20" s="102">
        <v>9.453000000000003</v>
      </c>
      <c r="K20" s="80">
        <v>298</v>
      </c>
      <c r="L20" s="93"/>
      <c r="M20" s="104"/>
      <c r="N20" s="80"/>
      <c r="O20" s="91">
        <v>11.140999999999991</v>
      </c>
      <c r="P20" s="92">
        <v>420</v>
      </c>
      <c r="Q20" s="92">
        <v>264</v>
      </c>
      <c r="R20" s="93">
        <v>224</v>
      </c>
      <c r="S20" s="92">
        <f t="shared" si="0"/>
        <v>0.40939597315436244</v>
      </c>
      <c r="T20" s="104">
        <f t="shared" si="1"/>
        <v>0.59090909090909094</v>
      </c>
      <c r="U20" s="91">
        <v>11.140999999999991</v>
      </c>
      <c r="V20" s="92">
        <v>420</v>
      </c>
      <c r="W20" s="92">
        <v>264</v>
      </c>
      <c r="X20" s="93">
        <v>224</v>
      </c>
      <c r="Y20" s="92">
        <f t="shared" si="2"/>
        <v>0.40939597315436244</v>
      </c>
      <c r="Z20" s="80">
        <f t="shared" si="3"/>
        <v>0.59090909090909094</v>
      </c>
      <c r="AA20" s="105">
        <f t="shared" si="4"/>
        <v>0.875</v>
      </c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</row>
    <row r="21" spans="1:43" x14ac:dyDescent="0.3">
      <c r="A21" s="102">
        <v>4.625</v>
      </c>
      <c r="B21" s="103">
        <v>295</v>
      </c>
      <c r="C21" s="93">
        <v>4.625</v>
      </c>
      <c r="D21" s="103">
        <v>295</v>
      </c>
      <c r="E21" s="93"/>
      <c r="F21" s="104"/>
      <c r="G21" s="80"/>
      <c r="H21" s="102">
        <v>6.8129999999999882</v>
      </c>
      <c r="I21" s="80">
        <v>295</v>
      </c>
      <c r="J21" s="102">
        <v>6.8129999999999882</v>
      </c>
      <c r="K21" s="80">
        <v>295</v>
      </c>
      <c r="L21" s="93"/>
      <c r="M21" s="104"/>
      <c r="N21" s="80"/>
      <c r="O21" s="91">
        <v>10.859000000000009</v>
      </c>
      <c r="P21" s="92">
        <v>374</v>
      </c>
      <c r="Q21" s="92">
        <v>279</v>
      </c>
      <c r="R21" s="93">
        <v>243</v>
      </c>
      <c r="S21" s="92">
        <f t="shared" si="0"/>
        <v>0.26779661016949152</v>
      </c>
      <c r="T21" s="104">
        <f t="shared" si="1"/>
        <v>0.34050179211469533</v>
      </c>
      <c r="U21" s="91">
        <v>10.859000000000009</v>
      </c>
      <c r="V21" s="92">
        <v>374</v>
      </c>
      <c r="W21" s="92">
        <v>279</v>
      </c>
      <c r="X21" s="93">
        <v>243</v>
      </c>
      <c r="Y21" s="92">
        <f t="shared" si="2"/>
        <v>0.26779661016949152</v>
      </c>
      <c r="Z21" s="80">
        <f t="shared" si="3"/>
        <v>0.34050179211469533</v>
      </c>
      <c r="AA21" s="105">
        <f t="shared" si="4"/>
        <v>0.53909465020576131</v>
      </c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</row>
    <row r="22" spans="1:43" x14ac:dyDescent="0.3">
      <c r="A22" s="102">
        <v>29.485000000000014</v>
      </c>
      <c r="B22" s="103">
        <v>281</v>
      </c>
      <c r="C22" s="93">
        <v>29.485000000000014</v>
      </c>
      <c r="D22" s="103">
        <v>281</v>
      </c>
      <c r="E22" s="93"/>
      <c r="F22" s="104"/>
      <c r="G22" s="80"/>
      <c r="H22" s="102">
        <v>27.828000000000031</v>
      </c>
      <c r="I22" s="80">
        <v>282</v>
      </c>
      <c r="J22" s="102">
        <v>27.828000000000031</v>
      </c>
      <c r="K22" s="80">
        <v>281</v>
      </c>
      <c r="L22" s="93"/>
      <c r="M22" s="104"/>
      <c r="N22" s="80"/>
      <c r="O22" s="91">
        <v>12.546999999999997</v>
      </c>
      <c r="P22" s="92">
        <v>335</v>
      </c>
      <c r="Q22" s="92">
        <v>244</v>
      </c>
      <c r="R22" s="93">
        <v>223</v>
      </c>
      <c r="S22" s="92">
        <f t="shared" si="0"/>
        <v>0.19217081850533807</v>
      </c>
      <c r="T22" s="104">
        <f t="shared" si="1"/>
        <v>0.37295081967213117</v>
      </c>
      <c r="U22" s="91">
        <v>12.546999999999997</v>
      </c>
      <c r="V22" s="92">
        <v>335</v>
      </c>
      <c r="W22" s="92">
        <v>244</v>
      </c>
      <c r="X22" s="93">
        <v>223</v>
      </c>
      <c r="Y22" s="92">
        <f t="shared" si="2"/>
        <v>0.19217081850533807</v>
      </c>
      <c r="Z22" s="80">
        <f t="shared" si="3"/>
        <v>0.37295081967213117</v>
      </c>
      <c r="AA22" s="105">
        <f t="shared" si="4"/>
        <v>0.50224215246636772</v>
      </c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</row>
    <row r="23" spans="1:43" x14ac:dyDescent="0.3">
      <c r="A23" s="102">
        <v>5.875</v>
      </c>
      <c r="B23" s="103">
        <v>252</v>
      </c>
      <c r="C23" s="93"/>
      <c r="D23" s="103"/>
      <c r="E23" s="93"/>
      <c r="F23" s="104"/>
      <c r="G23" s="80"/>
      <c r="H23" s="102">
        <v>6.9839999999999804</v>
      </c>
      <c r="I23" s="80">
        <v>251</v>
      </c>
      <c r="J23" s="102"/>
      <c r="K23" s="80"/>
      <c r="L23" s="93"/>
      <c r="M23" s="104"/>
      <c r="N23" s="80"/>
      <c r="O23" s="91">
        <v>322.95299999999997</v>
      </c>
      <c r="P23" s="92">
        <v>331</v>
      </c>
      <c r="Q23" s="92">
        <v>223</v>
      </c>
      <c r="R23" s="93">
        <v>223</v>
      </c>
      <c r="S23" s="92">
        <f t="shared" si="0"/>
        <v>0.31349206349206349</v>
      </c>
      <c r="T23" s="104">
        <f t="shared" si="1"/>
        <v>0.48430493273542602</v>
      </c>
      <c r="U23" s="91"/>
      <c r="V23" s="92"/>
      <c r="W23" s="92"/>
      <c r="X23" s="93"/>
      <c r="Y23" s="92"/>
      <c r="Z23" s="80"/>
      <c r="AA23" s="105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</row>
    <row r="24" spans="1:43" x14ac:dyDescent="0.3">
      <c r="A24" s="102">
        <v>11.686999999999983</v>
      </c>
      <c r="B24" s="103">
        <v>309</v>
      </c>
      <c r="C24" s="93">
        <v>11.686999999999983</v>
      </c>
      <c r="D24" s="103">
        <v>309</v>
      </c>
      <c r="E24" s="93"/>
      <c r="F24" s="104"/>
      <c r="G24" s="80"/>
      <c r="H24" s="102">
        <v>13.297000000000025</v>
      </c>
      <c r="I24" s="80">
        <v>309</v>
      </c>
      <c r="J24" s="102">
        <v>13.297000000000025</v>
      </c>
      <c r="K24" s="80">
        <v>309</v>
      </c>
      <c r="L24" s="93"/>
      <c r="M24" s="104"/>
      <c r="N24" s="80"/>
      <c r="O24" s="91">
        <v>9.3129999999999882</v>
      </c>
      <c r="P24" s="92">
        <v>394</v>
      </c>
      <c r="Q24" s="92">
        <v>306</v>
      </c>
      <c r="R24" s="93">
        <v>248</v>
      </c>
      <c r="S24" s="92">
        <f t="shared" si="0"/>
        <v>0.27508090614886732</v>
      </c>
      <c r="T24" s="104">
        <f t="shared" si="1"/>
        <v>0.28758169934640521</v>
      </c>
      <c r="U24" s="91">
        <v>9.3129999999999882</v>
      </c>
      <c r="V24" s="92">
        <v>394</v>
      </c>
      <c r="W24" s="92">
        <v>306</v>
      </c>
      <c r="X24" s="93">
        <v>248</v>
      </c>
      <c r="Y24" s="92">
        <f t="shared" si="2"/>
        <v>0.27508090614886732</v>
      </c>
      <c r="Z24" s="80">
        <f t="shared" si="3"/>
        <v>0.28758169934640521</v>
      </c>
      <c r="AA24" s="105">
        <f t="shared" si="4"/>
        <v>0.58870967741935487</v>
      </c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</row>
    <row r="25" spans="1:43" x14ac:dyDescent="0.3">
      <c r="A25" s="102">
        <v>17.063000000000017</v>
      </c>
      <c r="B25" s="103">
        <v>304</v>
      </c>
      <c r="C25" s="93">
        <v>17.063000000000017</v>
      </c>
      <c r="D25" s="103">
        <v>304</v>
      </c>
      <c r="E25" s="93"/>
      <c r="F25" s="104"/>
      <c r="G25" s="80"/>
      <c r="H25" s="102">
        <v>34.390999999999963</v>
      </c>
      <c r="I25" s="80">
        <v>304</v>
      </c>
      <c r="J25" s="102">
        <v>34.390999999999963</v>
      </c>
      <c r="K25" s="80">
        <v>304</v>
      </c>
      <c r="L25" s="93"/>
      <c r="M25" s="104"/>
      <c r="N25" s="80"/>
      <c r="O25" s="91">
        <v>8.6560000000000628</v>
      </c>
      <c r="P25" s="92">
        <v>389</v>
      </c>
      <c r="Q25" s="92">
        <v>288</v>
      </c>
      <c r="R25" s="93">
        <v>247</v>
      </c>
      <c r="S25" s="92">
        <f t="shared" si="0"/>
        <v>0.27960526315789475</v>
      </c>
      <c r="T25" s="104">
        <f t="shared" si="1"/>
        <v>0.35069444444444442</v>
      </c>
      <c r="U25" s="91">
        <v>8.6560000000000628</v>
      </c>
      <c r="V25" s="92">
        <v>389</v>
      </c>
      <c r="W25" s="92">
        <v>288</v>
      </c>
      <c r="X25" s="93">
        <v>247</v>
      </c>
      <c r="Y25" s="92">
        <f t="shared" si="2"/>
        <v>0.27960526315789475</v>
      </c>
      <c r="Z25" s="80">
        <f t="shared" si="3"/>
        <v>0.35069444444444442</v>
      </c>
      <c r="AA25" s="105">
        <f t="shared" si="4"/>
        <v>0.5748987854251012</v>
      </c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</row>
    <row r="26" spans="1:43" x14ac:dyDescent="0.3">
      <c r="A26" s="102">
        <v>6.6560000000000059</v>
      </c>
      <c r="B26" s="103">
        <v>288</v>
      </c>
      <c r="C26" s="93">
        <v>6.6560000000000059</v>
      </c>
      <c r="D26" s="103">
        <v>288</v>
      </c>
      <c r="E26" s="93"/>
      <c r="F26" s="104"/>
      <c r="G26" s="80"/>
      <c r="H26" s="102">
        <v>6.6870000000000118</v>
      </c>
      <c r="I26" s="80">
        <v>288</v>
      </c>
      <c r="J26" s="102">
        <v>6.6870000000000118</v>
      </c>
      <c r="K26" s="80">
        <v>288</v>
      </c>
      <c r="L26" s="93"/>
      <c r="M26" s="104"/>
      <c r="N26" s="80"/>
      <c r="O26" s="91">
        <v>10.75</v>
      </c>
      <c r="P26" s="92">
        <v>353</v>
      </c>
      <c r="Q26" s="92">
        <v>259</v>
      </c>
      <c r="R26" s="93">
        <v>238</v>
      </c>
      <c r="S26" s="92">
        <f t="shared" si="0"/>
        <v>0.22569444444444445</v>
      </c>
      <c r="T26" s="104">
        <f t="shared" si="1"/>
        <v>0.36293436293436293</v>
      </c>
      <c r="U26" s="91">
        <v>10.75</v>
      </c>
      <c r="V26" s="92">
        <v>353</v>
      </c>
      <c r="W26" s="92">
        <v>259</v>
      </c>
      <c r="X26" s="93">
        <v>238</v>
      </c>
      <c r="Y26" s="92">
        <f t="shared" si="2"/>
        <v>0.22569444444444445</v>
      </c>
      <c r="Z26" s="80">
        <f t="shared" si="3"/>
        <v>0.36293436293436293</v>
      </c>
      <c r="AA26" s="105">
        <f t="shared" si="4"/>
        <v>0.48319327731092437</v>
      </c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</row>
    <row r="27" spans="1:43" x14ac:dyDescent="0.3">
      <c r="A27" s="102">
        <v>14.625</v>
      </c>
      <c r="B27" s="103">
        <v>307</v>
      </c>
      <c r="C27" s="93">
        <v>14.625</v>
      </c>
      <c r="D27" s="103">
        <v>307</v>
      </c>
      <c r="E27" s="93"/>
      <c r="F27" s="104"/>
      <c r="G27" s="80"/>
      <c r="H27" s="102">
        <v>16.110000000000014</v>
      </c>
      <c r="I27" s="80">
        <v>307</v>
      </c>
      <c r="J27" s="102">
        <v>16.110000000000014</v>
      </c>
      <c r="K27" s="80">
        <v>307</v>
      </c>
      <c r="L27" s="93"/>
      <c r="M27" s="104"/>
      <c r="N27" s="80"/>
      <c r="O27" s="91">
        <v>10.75</v>
      </c>
      <c r="P27" s="92">
        <v>434</v>
      </c>
      <c r="Q27" s="92">
        <v>296</v>
      </c>
      <c r="R27" s="93">
        <v>258</v>
      </c>
      <c r="S27" s="92">
        <f t="shared" si="0"/>
        <v>0.41368078175895767</v>
      </c>
      <c r="T27" s="104">
        <f t="shared" si="1"/>
        <v>0.46621621621621623</v>
      </c>
      <c r="U27" s="91">
        <v>10.75</v>
      </c>
      <c r="V27" s="92">
        <v>434</v>
      </c>
      <c r="W27" s="92">
        <v>296</v>
      </c>
      <c r="X27" s="93">
        <v>258</v>
      </c>
      <c r="Y27" s="92">
        <f t="shared" si="2"/>
        <v>0.41368078175895767</v>
      </c>
      <c r="Z27" s="80">
        <f t="shared" si="3"/>
        <v>0.46621621621621623</v>
      </c>
      <c r="AA27" s="105">
        <f t="shared" si="4"/>
        <v>0.68217054263565891</v>
      </c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</row>
    <row r="28" spans="1:43" x14ac:dyDescent="0.3">
      <c r="A28" s="102">
        <v>2.8439999999999941</v>
      </c>
      <c r="B28" s="103">
        <v>294</v>
      </c>
      <c r="C28" s="93">
        <v>2.8439999999999941</v>
      </c>
      <c r="D28" s="103">
        <v>294</v>
      </c>
      <c r="E28" s="93"/>
      <c r="F28" s="104"/>
      <c r="G28" s="80"/>
      <c r="H28" s="102">
        <v>5.1089999999999804</v>
      </c>
      <c r="I28" s="80">
        <v>294</v>
      </c>
      <c r="J28" s="102">
        <v>5.1089999999999804</v>
      </c>
      <c r="K28" s="80">
        <v>294</v>
      </c>
      <c r="L28" s="93"/>
      <c r="M28" s="104"/>
      <c r="N28" s="80"/>
      <c r="O28" s="91">
        <v>11.046999999999912</v>
      </c>
      <c r="P28" s="92">
        <v>354</v>
      </c>
      <c r="Q28" s="92">
        <v>270</v>
      </c>
      <c r="R28" s="93">
        <v>239</v>
      </c>
      <c r="S28" s="92">
        <f t="shared" si="0"/>
        <v>0.20408163265306123</v>
      </c>
      <c r="T28" s="104">
        <f t="shared" si="1"/>
        <v>0.31111111111111112</v>
      </c>
      <c r="U28" s="91">
        <v>11.046999999999912</v>
      </c>
      <c r="V28" s="92">
        <v>354</v>
      </c>
      <c r="W28" s="92">
        <v>270</v>
      </c>
      <c r="X28" s="93">
        <v>239</v>
      </c>
      <c r="Y28" s="92">
        <f t="shared" si="2"/>
        <v>0.20408163265306123</v>
      </c>
      <c r="Z28" s="80">
        <f t="shared" si="3"/>
        <v>0.31111111111111112</v>
      </c>
      <c r="AA28" s="105">
        <f t="shared" si="4"/>
        <v>0.48117154811715479</v>
      </c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</row>
    <row r="29" spans="1:43" x14ac:dyDescent="0.3">
      <c r="A29" s="102">
        <v>8.6719999999999686</v>
      </c>
      <c r="B29" s="103">
        <v>278</v>
      </c>
      <c r="C29" s="93">
        <v>8.6719999999999686</v>
      </c>
      <c r="D29" s="103">
        <v>278</v>
      </c>
      <c r="E29" s="93"/>
      <c r="F29" s="104"/>
      <c r="G29" s="80"/>
      <c r="H29" s="102">
        <v>15.406000000000006</v>
      </c>
      <c r="I29" s="80">
        <v>278</v>
      </c>
      <c r="J29" s="102">
        <v>15.406000000000006</v>
      </c>
      <c r="K29" s="80">
        <v>278</v>
      </c>
      <c r="L29" s="93"/>
      <c r="M29" s="104"/>
      <c r="N29" s="80"/>
      <c r="O29" s="91">
        <v>11.187999999999988</v>
      </c>
      <c r="P29" s="92">
        <v>333</v>
      </c>
      <c r="Q29" s="92">
        <v>256</v>
      </c>
      <c r="R29" s="93">
        <v>227</v>
      </c>
      <c r="S29" s="92">
        <f t="shared" si="0"/>
        <v>0.19784172661870503</v>
      </c>
      <c r="T29" s="104">
        <f t="shared" si="1"/>
        <v>0.30078125</v>
      </c>
      <c r="U29" s="91">
        <v>11.187999999999988</v>
      </c>
      <c r="V29" s="92">
        <v>333</v>
      </c>
      <c r="W29" s="92">
        <v>256</v>
      </c>
      <c r="X29" s="93">
        <v>227</v>
      </c>
      <c r="Y29" s="92">
        <f t="shared" si="2"/>
        <v>0.19784172661870503</v>
      </c>
      <c r="Z29" s="80">
        <f t="shared" si="3"/>
        <v>0.30078125</v>
      </c>
      <c r="AA29" s="105">
        <f t="shared" si="4"/>
        <v>0.46696035242290751</v>
      </c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</row>
    <row r="30" spans="1:43" x14ac:dyDescent="0.3">
      <c r="A30" s="102">
        <v>19.687000000000012</v>
      </c>
      <c r="B30" s="103">
        <v>296</v>
      </c>
      <c r="C30" s="93">
        <v>19.687000000000012</v>
      </c>
      <c r="D30" s="103">
        <v>296</v>
      </c>
      <c r="E30" s="93"/>
      <c r="F30" s="104"/>
      <c r="G30" s="80"/>
      <c r="H30" s="102">
        <v>20.452999999999975</v>
      </c>
      <c r="I30" s="80">
        <v>296</v>
      </c>
      <c r="J30" s="102">
        <v>20.452999999999975</v>
      </c>
      <c r="K30" s="80">
        <v>296</v>
      </c>
      <c r="L30" s="93"/>
      <c r="M30" s="104"/>
      <c r="N30" s="80"/>
      <c r="O30" s="91">
        <v>11.078000000000088</v>
      </c>
      <c r="P30" s="92">
        <v>337</v>
      </c>
      <c r="Q30" s="92">
        <v>265</v>
      </c>
      <c r="R30" s="93">
        <v>230</v>
      </c>
      <c r="S30" s="92">
        <f t="shared" si="0"/>
        <v>0.13851351351351351</v>
      </c>
      <c r="T30" s="104">
        <f t="shared" si="1"/>
        <v>0.27169811320754716</v>
      </c>
      <c r="U30" s="91">
        <v>11.078000000000088</v>
      </c>
      <c r="V30" s="92">
        <v>337</v>
      </c>
      <c r="W30" s="92">
        <v>265</v>
      </c>
      <c r="X30" s="93">
        <v>230</v>
      </c>
      <c r="Y30" s="92">
        <f t="shared" si="2"/>
        <v>0.13851351351351351</v>
      </c>
      <c r="Z30" s="80">
        <f t="shared" si="3"/>
        <v>0.27169811320754716</v>
      </c>
      <c r="AA30" s="105">
        <f t="shared" si="4"/>
        <v>0.4652173913043478</v>
      </c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</row>
    <row r="31" spans="1:43" x14ac:dyDescent="0.3">
      <c r="A31" s="102">
        <v>907.39099999999996</v>
      </c>
      <c r="B31" s="103">
        <v>319</v>
      </c>
      <c r="C31" s="93"/>
      <c r="D31" s="103"/>
      <c r="E31" s="93"/>
      <c r="F31" s="104"/>
      <c r="G31" s="80"/>
      <c r="H31" s="102">
        <v>270.23500000000001</v>
      </c>
      <c r="I31" s="80">
        <v>319</v>
      </c>
      <c r="J31" s="102"/>
      <c r="K31" s="80"/>
      <c r="L31" s="93"/>
      <c r="M31" s="104"/>
      <c r="N31" s="80"/>
      <c r="O31" s="91">
        <v>10.905999999999949</v>
      </c>
      <c r="P31" s="92">
        <v>397</v>
      </c>
      <c r="Q31" s="92">
        <v>287</v>
      </c>
      <c r="R31" s="93">
        <v>240</v>
      </c>
      <c r="S31" s="92">
        <f t="shared" si="0"/>
        <v>0.2445141065830721</v>
      </c>
      <c r="T31" s="104">
        <f t="shared" si="1"/>
        <v>0.38327526132404183</v>
      </c>
      <c r="U31" s="91"/>
      <c r="V31" s="92"/>
      <c r="W31" s="92"/>
      <c r="X31" s="93"/>
      <c r="Y31" s="92"/>
      <c r="Z31" s="80"/>
      <c r="AA31" s="105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</row>
    <row r="32" spans="1:43" x14ac:dyDescent="0.3">
      <c r="A32" s="102">
        <v>31.687000000000126</v>
      </c>
      <c r="B32" s="103">
        <v>273</v>
      </c>
      <c r="C32" s="93">
        <v>31.687000000000126</v>
      </c>
      <c r="D32" s="103">
        <v>273</v>
      </c>
      <c r="E32" s="93"/>
      <c r="F32" s="104"/>
      <c r="G32" s="80"/>
      <c r="H32" s="102">
        <v>13.562000000000012</v>
      </c>
      <c r="I32" s="80">
        <v>273</v>
      </c>
      <c r="J32" s="102">
        <v>13.562000000000012</v>
      </c>
      <c r="K32" s="80">
        <v>273</v>
      </c>
      <c r="L32" s="93"/>
      <c r="M32" s="104"/>
      <c r="N32" s="80"/>
      <c r="O32" s="91">
        <v>9.5310000000000628</v>
      </c>
      <c r="P32" s="92">
        <v>337</v>
      </c>
      <c r="Q32" s="92">
        <v>252</v>
      </c>
      <c r="R32" s="93">
        <v>226</v>
      </c>
      <c r="S32" s="92">
        <f t="shared" si="0"/>
        <v>0.23443223443223443</v>
      </c>
      <c r="T32" s="104">
        <f t="shared" si="1"/>
        <v>0.33730158730158732</v>
      </c>
      <c r="U32" s="91">
        <v>9.5310000000000628</v>
      </c>
      <c r="V32" s="92">
        <v>337</v>
      </c>
      <c r="W32" s="92">
        <v>252</v>
      </c>
      <c r="X32" s="93">
        <v>226</v>
      </c>
      <c r="Y32" s="92">
        <f t="shared" si="2"/>
        <v>0.23443223443223443</v>
      </c>
      <c r="Z32" s="80">
        <f t="shared" si="3"/>
        <v>0.33730158730158732</v>
      </c>
      <c r="AA32" s="105">
        <f t="shared" si="4"/>
        <v>0.49115044247787609</v>
      </c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</row>
    <row r="33" spans="1:43" ht="15" thickBot="1" x14ac:dyDescent="0.35">
      <c r="A33" s="106">
        <v>3.6569999999999254</v>
      </c>
      <c r="B33" s="109">
        <v>281</v>
      </c>
      <c r="C33" s="110">
        <v>3.6569999999999254</v>
      </c>
      <c r="D33" s="109">
        <v>281</v>
      </c>
      <c r="E33" s="110"/>
      <c r="F33" s="108"/>
      <c r="G33" s="111"/>
      <c r="H33" s="106">
        <v>6.0159999999999627</v>
      </c>
      <c r="I33" s="107">
        <v>281</v>
      </c>
      <c r="J33" s="106">
        <v>6.0159999999999627</v>
      </c>
      <c r="K33" s="107">
        <v>281</v>
      </c>
      <c r="L33" s="110"/>
      <c r="M33" s="108"/>
      <c r="N33" s="111"/>
      <c r="O33" s="112">
        <v>11.280999999999949</v>
      </c>
      <c r="P33" s="113">
        <v>335</v>
      </c>
      <c r="Q33" s="113">
        <v>257</v>
      </c>
      <c r="R33" s="110">
        <v>227</v>
      </c>
      <c r="S33" s="113">
        <f t="shared" si="0"/>
        <v>0.19217081850533807</v>
      </c>
      <c r="T33" s="108">
        <f t="shared" si="1"/>
        <v>0.30350194552529181</v>
      </c>
      <c r="U33" s="112">
        <v>11.280999999999949</v>
      </c>
      <c r="V33" s="113">
        <v>335</v>
      </c>
      <c r="W33" s="113">
        <v>257</v>
      </c>
      <c r="X33" s="110">
        <v>227</v>
      </c>
      <c r="Y33" s="113">
        <f t="shared" si="2"/>
        <v>0.19217081850533807</v>
      </c>
      <c r="Z33" s="107">
        <f t="shared" si="3"/>
        <v>0.30350194552529181</v>
      </c>
      <c r="AA33" s="114">
        <f t="shared" si="4"/>
        <v>0.47577092511013214</v>
      </c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</row>
    <row r="34" spans="1:43" x14ac:dyDescent="0.3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</row>
    <row r="35" spans="1:43" x14ac:dyDescent="0.3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79" t="s">
        <v>21</v>
      </c>
      <c r="AD35" s="80">
        <v>0.05</v>
      </c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</row>
    <row r="36" spans="1:43" x14ac:dyDescent="0.3">
      <c r="A36" s="80">
        <f>AVERAGE(A4:A33)</f>
        <v>41.908333333333331</v>
      </c>
      <c r="B36" s="80"/>
      <c r="C36" s="80">
        <f>AVERAGE(C4:C33)</f>
        <v>12.285142857142858</v>
      </c>
      <c r="D36" s="80" t="s">
        <v>17</v>
      </c>
      <c r="E36" s="80"/>
      <c r="F36" s="80"/>
      <c r="G36" s="80"/>
      <c r="H36" s="80">
        <f>AVERAGE(H4:H33)</f>
        <v>22.325533333333333</v>
      </c>
      <c r="I36" s="80"/>
      <c r="J36" s="80">
        <f>AVERAGE(J4:J33)</f>
        <v>14.019535714285713</v>
      </c>
      <c r="K36" s="80" t="s">
        <v>17</v>
      </c>
      <c r="L36" s="80"/>
      <c r="M36" s="80"/>
      <c r="N36" s="80"/>
      <c r="O36" s="80">
        <f>AVERAGE(O4:O33)</f>
        <v>21.120833333333334</v>
      </c>
      <c r="P36" s="80"/>
      <c r="Q36" s="80"/>
      <c r="R36" s="80"/>
      <c r="S36" s="80"/>
      <c r="T36" s="80"/>
      <c r="U36" s="80">
        <f>AVERAGE(U4:U33)</f>
        <v>10.705928571428574</v>
      </c>
      <c r="V36" s="80" t="s">
        <v>17</v>
      </c>
      <c r="W36" s="80"/>
      <c r="X36" s="80"/>
      <c r="Y36" s="80"/>
      <c r="Z36" s="80"/>
      <c r="AA36" s="80"/>
      <c r="AB36" s="80" t="s">
        <v>26</v>
      </c>
      <c r="AC36" s="79" t="s">
        <v>19</v>
      </c>
      <c r="AD36" s="80">
        <f>_xlfn.T.TEST(C4:C33,U4:U33,1,3)</f>
        <v>0.18462429265642749</v>
      </c>
      <c r="AE36" s="126" t="s">
        <v>22</v>
      </c>
      <c r="AF36" s="126"/>
      <c r="AG36" s="126"/>
      <c r="AH36" s="126"/>
      <c r="AI36" s="126"/>
      <c r="AJ36" s="80" t="s">
        <v>24</v>
      </c>
      <c r="AK36" s="126" t="s">
        <v>23</v>
      </c>
      <c r="AL36" s="126"/>
      <c r="AM36" s="126"/>
      <c r="AN36" s="126"/>
      <c r="AO36" s="126"/>
      <c r="AP36" s="126"/>
      <c r="AQ36" s="126"/>
    </row>
    <row r="37" spans="1:43" x14ac:dyDescent="0.3">
      <c r="A37" s="80"/>
      <c r="B37" s="80"/>
      <c r="C37" s="80">
        <f>_xlfn.STDEV.S(C4:C33)</f>
        <v>9.1126267616617955</v>
      </c>
      <c r="D37" s="79">
        <f>C37/C36</f>
        <v>0.7417599345508229</v>
      </c>
      <c r="E37" s="80"/>
      <c r="F37" s="80"/>
      <c r="G37" s="80"/>
      <c r="H37" s="80"/>
      <c r="I37" s="80"/>
      <c r="J37" s="80">
        <f>_xlfn.STDEV.S(J4:J33)</f>
        <v>12.054503441490221</v>
      </c>
      <c r="K37" s="79">
        <f>J37/J36</f>
        <v>0.8598361377407705</v>
      </c>
      <c r="L37" s="80"/>
      <c r="M37" s="80"/>
      <c r="N37" s="80"/>
      <c r="O37" s="80"/>
      <c r="P37" s="80"/>
      <c r="Q37" s="80"/>
      <c r="R37" s="80"/>
      <c r="S37" s="80"/>
      <c r="T37" s="80"/>
      <c r="U37" s="80">
        <f>_xlfn.STDEV.S(U4:U33)</f>
        <v>0.86963227343818961</v>
      </c>
      <c r="V37" s="79">
        <f>U37/U36</f>
        <v>8.1229037503483731E-2</v>
      </c>
      <c r="W37" s="80"/>
      <c r="X37" s="80"/>
      <c r="Y37" s="80"/>
      <c r="Z37" s="80"/>
      <c r="AA37" s="80"/>
      <c r="AB37" s="80" t="s">
        <v>20</v>
      </c>
      <c r="AC37" s="79" t="s">
        <v>19</v>
      </c>
      <c r="AD37" s="80">
        <f>_xlfn.T.TEST(C4:C33,J4:J33,2,1)</f>
        <v>0.39533815717601206</v>
      </c>
      <c r="AE37" s="126" t="s">
        <v>22</v>
      </c>
      <c r="AF37" s="126"/>
      <c r="AG37" s="126"/>
      <c r="AH37" s="126"/>
      <c r="AI37" s="126"/>
      <c r="AJ37" s="80" t="s">
        <v>25</v>
      </c>
      <c r="AK37" s="126"/>
      <c r="AL37" s="126"/>
      <c r="AM37" s="126"/>
      <c r="AN37" s="126"/>
      <c r="AO37" s="126"/>
      <c r="AP37" s="126"/>
      <c r="AQ37" s="126"/>
    </row>
    <row r="38" spans="1:43" x14ac:dyDescent="0.3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</row>
    <row r="39" spans="1:43" x14ac:dyDescent="0.3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</row>
    <row r="40" spans="1:43" x14ac:dyDescent="0.3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</row>
    <row r="41" spans="1:43" x14ac:dyDescent="0.3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</row>
    <row r="42" spans="1:43" x14ac:dyDescent="0.3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</row>
    <row r="43" spans="1:43" x14ac:dyDescent="0.3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</row>
    <row r="44" spans="1:43" x14ac:dyDescent="0.3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</row>
    <row r="45" spans="1:43" x14ac:dyDescent="0.3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</row>
    <row r="46" spans="1:43" x14ac:dyDescent="0.3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</row>
    <row r="47" spans="1:43" x14ac:dyDescent="0.3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</row>
    <row r="48" spans="1:43" x14ac:dyDescent="0.3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</row>
    <row r="49" spans="1:43" x14ac:dyDescent="0.3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</row>
    <row r="50" spans="1:43" x14ac:dyDescent="0.3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</row>
    <row r="51" spans="1:43" x14ac:dyDescent="0.3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</row>
    <row r="52" spans="1:43" x14ac:dyDescent="0.3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</row>
    <row r="53" spans="1:43" x14ac:dyDescent="0.3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</row>
    <row r="54" spans="1:43" x14ac:dyDescent="0.3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</row>
    <row r="55" spans="1:43" x14ac:dyDescent="0.3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</row>
    <row r="56" spans="1:43" x14ac:dyDescent="0.3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</row>
    <row r="57" spans="1:43" ht="15" thickBot="1" x14ac:dyDescent="0.35">
      <c r="A57" s="79" t="s">
        <v>13</v>
      </c>
      <c r="B57" s="79" t="s">
        <v>14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</row>
    <row r="58" spans="1:43" x14ac:dyDescent="0.3">
      <c r="A58" s="123" t="s">
        <v>30</v>
      </c>
      <c r="B58" s="124"/>
      <c r="C58" s="124"/>
      <c r="D58" s="124"/>
      <c r="E58" s="124"/>
      <c r="F58" s="125"/>
      <c r="G58" s="80"/>
      <c r="H58" s="123" t="s">
        <v>27</v>
      </c>
      <c r="I58" s="124"/>
      <c r="J58" s="124"/>
      <c r="K58" s="124"/>
      <c r="L58" s="124"/>
      <c r="M58" s="125"/>
      <c r="N58" s="80"/>
      <c r="O58" s="81" t="s">
        <v>3</v>
      </c>
      <c r="P58" s="82"/>
      <c r="Q58" s="82"/>
      <c r="R58" s="82"/>
      <c r="S58" s="82"/>
      <c r="T58" s="82"/>
      <c r="U58" s="84" t="s">
        <v>12</v>
      </c>
      <c r="V58" s="85"/>
      <c r="W58" s="85"/>
      <c r="X58" s="85"/>
      <c r="Y58" s="85"/>
      <c r="Z58" s="85"/>
      <c r="AA58" s="86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</row>
    <row r="59" spans="1:43" x14ac:dyDescent="0.3">
      <c r="A59" s="87" t="s">
        <v>11</v>
      </c>
      <c r="B59" s="88"/>
      <c r="C59" s="89" t="s">
        <v>12</v>
      </c>
      <c r="D59" s="88"/>
      <c r="E59" s="89"/>
      <c r="F59" s="90"/>
      <c r="G59" s="80"/>
      <c r="H59" s="87" t="s">
        <v>11</v>
      </c>
      <c r="I59" s="88"/>
      <c r="J59" s="89" t="s">
        <v>12</v>
      </c>
      <c r="K59" s="88"/>
      <c r="L59" s="89"/>
      <c r="M59" s="99" t="s">
        <v>29</v>
      </c>
      <c r="N59" s="80"/>
      <c r="O59" s="91" t="s">
        <v>4</v>
      </c>
      <c r="P59" s="92" t="s">
        <v>0</v>
      </c>
      <c r="Q59" s="92" t="s">
        <v>7</v>
      </c>
      <c r="R59" s="93" t="s">
        <v>8</v>
      </c>
      <c r="S59" s="94" t="s">
        <v>9</v>
      </c>
      <c r="T59" s="89" t="s">
        <v>10</v>
      </c>
      <c r="U59" s="97" t="s">
        <v>4</v>
      </c>
      <c r="V59" s="97" t="s">
        <v>0</v>
      </c>
      <c r="W59" s="97" t="s">
        <v>7</v>
      </c>
      <c r="X59" s="98" t="s">
        <v>8</v>
      </c>
      <c r="Y59" s="97" t="s">
        <v>9</v>
      </c>
      <c r="Z59" s="98" t="s">
        <v>10</v>
      </c>
      <c r="AA59" s="97" t="s">
        <v>18</v>
      </c>
      <c r="AB59" s="80"/>
      <c r="AC59" s="80" t="s">
        <v>15</v>
      </c>
      <c r="AD59" s="80">
        <f>SQRT(29)</f>
        <v>5.3851648071345037</v>
      </c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</row>
    <row r="60" spans="1:43" ht="15" thickBot="1" x14ac:dyDescent="0.35">
      <c r="A60" s="87">
        <v>66</v>
      </c>
      <c r="B60" s="100">
        <v>363</v>
      </c>
      <c r="C60" s="89">
        <v>60.3</v>
      </c>
      <c r="D60" s="88">
        <v>363</v>
      </c>
      <c r="E60" s="89"/>
      <c r="F60" s="90"/>
      <c r="G60" s="80"/>
      <c r="H60" s="87">
        <v>60.203000000000003</v>
      </c>
      <c r="I60" s="100">
        <v>362</v>
      </c>
      <c r="J60" s="87">
        <v>60.203000000000003</v>
      </c>
      <c r="K60" s="100">
        <v>362</v>
      </c>
      <c r="L60" s="89"/>
      <c r="M60" s="105">
        <f>K60-D60</f>
        <v>-1</v>
      </c>
      <c r="N60" s="80"/>
      <c r="O60" s="101">
        <v>23.14</v>
      </c>
      <c r="P60" s="94">
        <v>476</v>
      </c>
      <c r="Q60" s="94">
        <v>318</v>
      </c>
      <c r="R60" s="89">
        <v>278</v>
      </c>
      <c r="S60" s="94">
        <f>(P60-$B60)/$B60</f>
        <v>0.31129476584022037</v>
      </c>
      <c r="T60" s="100">
        <f>(P60-Q60)/Q60</f>
        <v>0.49685534591194969</v>
      </c>
      <c r="U60" s="101">
        <v>23.14</v>
      </c>
      <c r="V60" s="94">
        <v>476</v>
      </c>
      <c r="W60" s="94">
        <v>318</v>
      </c>
      <c r="X60" s="89">
        <v>278</v>
      </c>
      <c r="Y60" s="94">
        <f>(V60-$B60)/$B60</f>
        <v>0.31129476584022037</v>
      </c>
      <c r="Z60" s="100">
        <f>(V60-W60)/W60</f>
        <v>0.49685534591194969</v>
      </c>
      <c r="AA60" s="95">
        <f>(V60-X60)/X60</f>
        <v>0.71223021582733814</v>
      </c>
      <c r="AB60" s="80"/>
      <c r="AC60" s="80"/>
      <c r="AD60" s="80"/>
      <c r="AE60" s="80" t="s">
        <v>28</v>
      </c>
      <c r="AF60" s="80" t="s">
        <v>7</v>
      </c>
      <c r="AG60" s="80" t="s">
        <v>8</v>
      </c>
      <c r="AH60" s="80"/>
      <c r="AI60" s="80"/>
      <c r="AJ60" s="80"/>
      <c r="AK60" s="80"/>
      <c r="AL60" s="80"/>
      <c r="AM60" s="80"/>
      <c r="AN60" s="80"/>
      <c r="AO60" s="80"/>
      <c r="AP60" s="80"/>
      <c r="AQ60" s="80"/>
    </row>
    <row r="61" spans="1:43" x14ac:dyDescent="0.3">
      <c r="A61" s="102">
        <v>60.233999999999995</v>
      </c>
      <c r="B61" s="80">
        <v>355</v>
      </c>
      <c r="C61" s="93">
        <v>60.233999999999995</v>
      </c>
      <c r="D61" s="103">
        <v>355</v>
      </c>
      <c r="E61" s="93"/>
      <c r="F61" s="104"/>
      <c r="G61" s="80"/>
      <c r="H61" s="102">
        <v>60.25</v>
      </c>
      <c r="I61" s="80">
        <v>357</v>
      </c>
      <c r="J61" s="102">
        <v>60.25</v>
      </c>
      <c r="K61" s="80">
        <v>357</v>
      </c>
      <c r="L61" s="93"/>
      <c r="M61" s="105">
        <f t="shared" ref="M61:M89" si="11">K61-D61</f>
        <v>2</v>
      </c>
      <c r="N61" s="80"/>
      <c r="O61" s="91">
        <v>33.984999999999999</v>
      </c>
      <c r="P61" s="92">
        <v>441</v>
      </c>
      <c r="Q61" s="92">
        <v>320</v>
      </c>
      <c r="R61" s="93">
        <v>290</v>
      </c>
      <c r="S61" s="92">
        <f t="shared" ref="S61:S89" si="12">(P61-$B61)/$B61</f>
        <v>0.24225352112676057</v>
      </c>
      <c r="T61" s="80">
        <f t="shared" ref="T61:T89" si="13">(P61-Q61)/Q61</f>
        <v>0.37812499999999999</v>
      </c>
      <c r="U61" s="91">
        <v>33.984999999999999</v>
      </c>
      <c r="V61" s="92">
        <v>441</v>
      </c>
      <c r="W61" s="92">
        <v>320</v>
      </c>
      <c r="X61" s="93">
        <v>290</v>
      </c>
      <c r="Y61" s="92">
        <f t="shared" ref="Y61:Y79" si="14">(V61-$B61)/$B61</f>
        <v>0.24225352112676057</v>
      </c>
      <c r="Z61" s="80">
        <f t="shared" ref="Z61:Z78" si="15">(V61-W61)/W61</f>
        <v>0.37812499999999999</v>
      </c>
      <c r="AA61" s="105">
        <f t="shared" ref="AA61:AA78" si="16">(V61-X61)/X61</f>
        <v>0.52068965517241383</v>
      </c>
      <c r="AB61" s="80"/>
      <c r="AC61" s="84">
        <v>0</v>
      </c>
      <c r="AD61" s="85">
        <f t="shared" ref="AD61:AD66" si="17">AC61+0.1</f>
        <v>0.1</v>
      </c>
      <c r="AE61" s="84">
        <f>COUNTIFS($Y$60:$Y$89,"&lt;"&amp;AD61,$Y$60:$Y$89,"&gt;="&amp;AC61)/$AE$12</f>
        <v>0</v>
      </c>
      <c r="AF61" s="85">
        <f>COUNTIFS($Z$60:$Z$89,"&lt;"&amp;AD61,$Z$60:$Z$89,"&gt;="&amp;AC61)/$AE$12</f>
        <v>0</v>
      </c>
      <c r="AG61" s="86">
        <f>COUNTIFS($AA$60:$AA$89,"&lt;"&amp;AD61,$AA$60:$AA$89,"&gt;="&amp;AC61)/$AE$12</f>
        <v>0</v>
      </c>
      <c r="AH61" s="86" t="str">
        <f>_xlfn.CONCAT(TEXT(AC61,"0.00"),"-",TEXT(AD61,"0.00"))</f>
        <v>0.00-0.10</v>
      </c>
      <c r="AI61" s="80"/>
      <c r="AJ61" s="80"/>
      <c r="AK61" s="80"/>
      <c r="AL61" s="80"/>
      <c r="AM61" s="80"/>
      <c r="AN61" s="80"/>
      <c r="AO61" s="80"/>
      <c r="AP61" s="80"/>
      <c r="AQ61" s="80"/>
    </row>
    <row r="62" spans="1:43" x14ac:dyDescent="0.3">
      <c r="A62" s="102">
        <v>60.188000000000002</v>
      </c>
      <c r="B62" s="80">
        <v>397</v>
      </c>
      <c r="C62" s="93">
        <v>60.188000000000002</v>
      </c>
      <c r="D62" s="103">
        <v>397</v>
      </c>
      <c r="E62" s="93"/>
      <c r="F62" s="104"/>
      <c r="G62" s="80"/>
      <c r="H62" s="102">
        <v>60.234999999999985</v>
      </c>
      <c r="I62" s="80">
        <v>402</v>
      </c>
      <c r="J62" s="102">
        <v>60.234999999999985</v>
      </c>
      <c r="K62" s="80">
        <v>402</v>
      </c>
      <c r="L62" s="93"/>
      <c r="M62" s="105">
        <f t="shared" si="11"/>
        <v>5</v>
      </c>
      <c r="N62" s="80"/>
      <c r="O62" s="91">
        <v>39.358999999999995</v>
      </c>
      <c r="P62" s="92">
        <v>458</v>
      </c>
      <c r="Q62" s="92">
        <v>364</v>
      </c>
      <c r="R62" s="93">
        <v>316</v>
      </c>
      <c r="S62" s="92">
        <f t="shared" si="12"/>
        <v>0.15365239294710328</v>
      </c>
      <c r="T62" s="80">
        <f t="shared" si="13"/>
        <v>0.25824175824175827</v>
      </c>
      <c r="U62" s="91">
        <v>39.358999999999995</v>
      </c>
      <c r="V62" s="92">
        <v>458</v>
      </c>
      <c r="W62" s="92">
        <v>364</v>
      </c>
      <c r="X62" s="93">
        <v>316</v>
      </c>
      <c r="Y62" s="92">
        <f t="shared" si="14"/>
        <v>0.15365239294710328</v>
      </c>
      <c r="Z62" s="80">
        <f t="shared" si="15"/>
        <v>0.25824175824175827</v>
      </c>
      <c r="AA62" s="105">
        <f t="shared" si="16"/>
        <v>0.44936708860759494</v>
      </c>
      <c r="AB62" s="80"/>
      <c r="AC62" s="102">
        <f t="shared" ref="AC62:AC67" si="18">AD61</f>
        <v>0.1</v>
      </c>
      <c r="AD62" s="80">
        <f t="shared" si="17"/>
        <v>0.2</v>
      </c>
      <c r="AE62" s="102">
        <f t="shared" ref="AE62:AE67" si="19">COUNTIFS($Y$60:$Y$89,"&lt;"&amp;AD62,$Y$60:$Y$89,"&gt;="&amp;AC62)/$AE$12</f>
        <v>0.17857142857142858</v>
      </c>
      <c r="AF62" s="80">
        <f t="shared" ref="AF62:AF67" si="20">COUNTIFS($Z$60:$Z$89,"&lt;"&amp;AD62,$Z$60:$Z$89,"&gt;="&amp;AC62)/$AE$12</f>
        <v>0</v>
      </c>
      <c r="AG62" s="104">
        <f t="shared" ref="AG62:AG67" si="21">COUNTIFS($AA$60:$AA$89,"&lt;"&amp;AD62,$AA$60:$AA$89,"&gt;="&amp;AC62)/$AE$12</f>
        <v>0</v>
      </c>
      <c r="AH62" s="104" t="str">
        <f t="shared" ref="AH62:AH67" si="22">_xlfn.CONCAT(TEXT(AC62,"0.00"),"-",TEXT(AD62,"0.00"))</f>
        <v>0.10-0.20</v>
      </c>
      <c r="AI62" s="80"/>
      <c r="AJ62" s="80"/>
      <c r="AK62" s="80"/>
      <c r="AL62" s="80"/>
      <c r="AM62" s="80"/>
      <c r="AN62" s="80"/>
      <c r="AO62" s="80"/>
      <c r="AP62" s="80"/>
      <c r="AQ62" s="80"/>
    </row>
    <row r="63" spans="1:43" x14ac:dyDescent="0.3">
      <c r="A63" s="102">
        <v>60.281000000000006</v>
      </c>
      <c r="B63" s="80">
        <v>373</v>
      </c>
      <c r="C63" s="93">
        <v>60.281000000000006</v>
      </c>
      <c r="D63" s="103">
        <v>373</v>
      </c>
      <c r="E63" s="93"/>
      <c r="F63" s="104"/>
      <c r="G63" s="80"/>
      <c r="H63" s="102">
        <v>60.313000000000017</v>
      </c>
      <c r="I63" s="80">
        <v>373</v>
      </c>
      <c r="J63" s="102">
        <v>60.313000000000017</v>
      </c>
      <c r="K63" s="80">
        <v>373</v>
      </c>
      <c r="L63" s="93"/>
      <c r="M63" s="105">
        <f t="shared" si="11"/>
        <v>0</v>
      </c>
      <c r="N63" s="80"/>
      <c r="O63" s="91">
        <v>34.280999999999992</v>
      </c>
      <c r="P63" s="92">
        <v>498</v>
      </c>
      <c r="Q63" s="92">
        <v>349</v>
      </c>
      <c r="R63" s="93">
        <v>308</v>
      </c>
      <c r="S63" s="92">
        <f t="shared" si="12"/>
        <v>0.33512064343163539</v>
      </c>
      <c r="T63" s="80">
        <f t="shared" si="13"/>
        <v>0.42693409742120342</v>
      </c>
      <c r="U63" s="91">
        <v>34.280999999999992</v>
      </c>
      <c r="V63" s="92">
        <v>498</v>
      </c>
      <c r="W63" s="92">
        <v>349</v>
      </c>
      <c r="X63" s="93">
        <v>308</v>
      </c>
      <c r="Y63" s="92">
        <f t="shared" si="14"/>
        <v>0.33512064343163539</v>
      </c>
      <c r="Z63" s="80">
        <f t="shared" si="15"/>
        <v>0.42693409742120342</v>
      </c>
      <c r="AA63" s="105">
        <f t="shared" si="16"/>
        <v>0.61688311688311692</v>
      </c>
      <c r="AB63" s="80"/>
      <c r="AC63" s="102">
        <f t="shared" si="18"/>
        <v>0.2</v>
      </c>
      <c r="AD63" s="80">
        <f t="shared" si="17"/>
        <v>0.30000000000000004</v>
      </c>
      <c r="AE63" s="102">
        <f t="shared" si="19"/>
        <v>0.5357142857142857</v>
      </c>
      <c r="AF63" s="80">
        <f t="shared" si="20"/>
        <v>7.1428571428571425E-2</v>
      </c>
      <c r="AG63" s="104">
        <f t="shared" si="21"/>
        <v>0</v>
      </c>
      <c r="AH63" s="104" t="str">
        <f t="shared" si="22"/>
        <v>0.20-0.30</v>
      </c>
      <c r="AI63" s="80"/>
      <c r="AJ63" s="80"/>
      <c r="AK63" s="80"/>
      <c r="AL63" s="80"/>
      <c r="AM63" s="80"/>
      <c r="AN63" s="80"/>
      <c r="AO63" s="80"/>
      <c r="AP63" s="80"/>
      <c r="AQ63" s="80"/>
    </row>
    <row r="64" spans="1:43" x14ac:dyDescent="0.3">
      <c r="A64" s="102">
        <v>63.999999999999972</v>
      </c>
      <c r="B64" s="80">
        <v>370</v>
      </c>
      <c r="C64" s="93">
        <v>61.5</v>
      </c>
      <c r="D64" s="103">
        <v>370</v>
      </c>
      <c r="E64" s="93"/>
      <c r="F64" s="104"/>
      <c r="G64" s="80"/>
      <c r="H64" s="102">
        <v>60.188000000000017</v>
      </c>
      <c r="I64" s="80">
        <v>367</v>
      </c>
      <c r="J64" s="102">
        <v>60.188000000000017</v>
      </c>
      <c r="K64" s="80">
        <v>367</v>
      </c>
      <c r="L64" s="93"/>
      <c r="M64" s="105">
        <f t="shared" si="11"/>
        <v>-3</v>
      </c>
      <c r="N64" s="80"/>
      <c r="O64" s="91">
        <v>41.047000000000025</v>
      </c>
      <c r="P64" s="92">
        <v>520</v>
      </c>
      <c r="Q64" s="92">
        <v>312</v>
      </c>
      <c r="R64" s="93">
        <v>258</v>
      </c>
      <c r="S64" s="92">
        <f t="shared" si="12"/>
        <v>0.40540540540540543</v>
      </c>
      <c r="T64" s="80">
        <f t="shared" si="13"/>
        <v>0.66666666666666663</v>
      </c>
      <c r="U64" s="91">
        <v>41.047000000000025</v>
      </c>
      <c r="V64" s="92">
        <v>520</v>
      </c>
      <c r="W64" s="92">
        <v>312</v>
      </c>
      <c r="X64" s="93">
        <v>258</v>
      </c>
      <c r="Y64" s="92">
        <f t="shared" si="14"/>
        <v>0.40540540540540543</v>
      </c>
      <c r="Z64" s="80">
        <f t="shared" si="15"/>
        <v>0.66666666666666663</v>
      </c>
      <c r="AA64" s="105">
        <f t="shared" si="16"/>
        <v>1.0155038759689923</v>
      </c>
      <c r="AB64" s="80"/>
      <c r="AC64" s="102">
        <f t="shared" si="18"/>
        <v>0.30000000000000004</v>
      </c>
      <c r="AD64" s="80">
        <f t="shared" si="17"/>
        <v>0.4</v>
      </c>
      <c r="AE64" s="102">
        <f t="shared" si="19"/>
        <v>0.2857142857142857</v>
      </c>
      <c r="AF64" s="80">
        <f t="shared" si="20"/>
        <v>0.32142857142857145</v>
      </c>
      <c r="AG64" s="104">
        <f t="shared" si="21"/>
        <v>0</v>
      </c>
      <c r="AH64" s="104" t="str">
        <f t="shared" si="22"/>
        <v>0.30-0.40</v>
      </c>
      <c r="AI64" s="80"/>
      <c r="AJ64" s="80">
        <f>AVERAGE(Y60:Y89)</f>
        <v>0.27070899899672335</v>
      </c>
      <c r="AK64" s="80">
        <f>AVERAGE(Z60:Z89)</f>
        <v>0.43739055459844145</v>
      </c>
      <c r="AL64" s="80">
        <f>AVERAGE(AA60:AA89)</f>
        <v>0.64003520304274908</v>
      </c>
      <c r="AM64" s="80"/>
      <c r="AN64" s="80"/>
      <c r="AO64" s="80"/>
      <c r="AP64" s="80"/>
      <c r="AQ64" s="80"/>
    </row>
    <row r="65" spans="1:43" x14ac:dyDescent="0.3">
      <c r="A65" s="102">
        <v>60.14100000000002</v>
      </c>
      <c r="B65" s="80">
        <v>402</v>
      </c>
      <c r="C65" s="93">
        <v>60.14100000000002</v>
      </c>
      <c r="D65" s="103">
        <v>402</v>
      </c>
      <c r="E65" s="93"/>
      <c r="F65" s="104"/>
      <c r="G65" s="80"/>
      <c r="H65" s="102">
        <v>60.25</v>
      </c>
      <c r="I65" s="80">
        <v>392</v>
      </c>
      <c r="J65" s="102">
        <v>60.25</v>
      </c>
      <c r="K65" s="80">
        <v>392</v>
      </c>
      <c r="L65" s="93"/>
      <c r="M65" s="105">
        <f t="shared" si="11"/>
        <v>-10</v>
      </c>
      <c r="N65" s="80"/>
      <c r="O65" s="91">
        <v>44.437999999999988</v>
      </c>
      <c r="P65" s="92">
        <v>555</v>
      </c>
      <c r="Q65" s="92">
        <v>369</v>
      </c>
      <c r="R65" s="93">
        <v>287</v>
      </c>
      <c r="S65" s="92">
        <f t="shared" si="12"/>
        <v>0.38059701492537312</v>
      </c>
      <c r="T65" s="80">
        <f t="shared" si="13"/>
        <v>0.50406504065040647</v>
      </c>
      <c r="U65" s="91">
        <v>44.437999999999988</v>
      </c>
      <c r="V65" s="92">
        <v>555</v>
      </c>
      <c r="W65" s="92">
        <v>369</v>
      </c>
      <c r="X65" s="93">
        <v>287</v>
      </c>
      <c r="Y65" s="92">
        <f t="shared" si="14"/>
        <v>0.38059701492537312</v>
      </c>
      <c r="Z65" s="80">
        <f t="shared" si="15"/>
        <v>0.50406504065040647</v>
      </c>
      <c r="AA65" s="105">
        <f t="shared" si="16"/>
        <v>0.93379790940766549</v>
      </c>
      <c r="AB65" s="80"/>
      <c r="AC65" s="102">
        <f t="shared" si="18"/>
        <v>0.4</v>
      </c>
      <c r="AD65" s="80">
        <f t="shared" si="17"/>
        <v>0.5</v>
      </c>
      <c r="AE65" s="102">
        <f t="shared" si="19"/>
        <v>7.1428571428571425E-2</v>
      </c>
      <c r="AF65" s="80">
        <f t="shared" si="20"/>
        <v>0.4642857142857143</v>
      </c>
      <c r="AG65" s="104">
        <f t="shared" si="21"/>
        <v>0.14285714285714285</v>
      </c>
      <c r="AH65" s="104" t="str">
        <f t="shared" si="22"/>
        <v>0.40-0.50</v>
      </c>
      <c r="AI65" s="80"/>
      <c r="AJ65" s="80"/>
      <c r="AK65" s="80"/>
      <c r="AL65" s="80"/>
      <c r="AM65" s="80"/>
      <c r="AN65" s="80"/>
      <c r="AO65" s="80"/>
      <c r="AP65" s="80"/>
      <c r="AQ65" s="80"/>
    </row>
    <row r="66" spans="1:43" x14ac:dyDescent="0.3">
      <c r="A66" s="102">
        <v>60.125</v>
      </c>
      <c r="B66" s="80">
        <v>359</v>
      </c>
      <c r="C66" s="93">
        <v>60.125</v>
      </c>
      <c r="D66" s="103">
        <v>359</v>
      </c>
      <c r="E66" s="93"/>
      <c r="F66" s="104"/>
      <c r="G66" s="80"/>
      <c r="H66" s="102">
        <v>61.014999999999986</v>
      </c>
      <c r="I66" s="80">
        <v>347</v>
      </c>
      <c r="J66" s="102">
        <v>61.014999999999986</v>
      </c>
      <c r="K66" s="80">
        <v>347</v>
      </c>
      <c r="L66" s="93"/>
      <c r="M66" s="105">
        <f t="shared" si="11"/>
        <v>-12</v>
      </c>
      <c r="N66" s="80"/>
      <c r="O66" s="91">
        <v>38.984000000000009</v>
      </c>
      <c r="P66" s="92">
        <v>423</v>
      </c>
      <c r="Q66" s="92">
        <v>322</v>
      </c>
      <c r="R66" s="93">
        <v>280</v>
      </c>
      <c r="S66" s="92">
        <f t="shared" si="12"/>
        <v>0.17827298050139276</v>
      </c>
      <c r="T66" s="80">
        <f t="shared" si="13"/>
        <v>0.31366459627329191</v>
      </c>
      <c r="U66" s="91">
        <v>38.984000000000009</v>
      </c>
      <c r="V66" s="92">
        <v>423</v>
      </c>
      <c r="W66" s="92">
        <v>322</v>
      </c>
      <c r="X66" s="93">
        <v>280</v>
      </c>
      <c r="Y66" s="92">
        <f t="shared" si="14"/>
        <v>0.17827298050139276</v>
      </c>
      <c r="Z66" s="80">
        <f t="shared" si="15"/>
        <v>0.31366459627329191</v>
      </c>
      <c r="AA66" s="105">
        <f t="shared" si="16"/>
        <v>0.51071428571428568</v>
      </c>
      <c r="AB66" s="80"/>
      <c r="AC66" s="102">
        <f t="shared" si="18"/>
        <v>0.5</v>
      </c>
      <c r="AD66" s="80">
        <f t="shared" si="17"/>
        <v>0.6</v>
      </c>
      <c r="AE66" s="102">
        <f t="shared" si="19"/>
        <v>0</v>
      </c>
      <c r="AF66" s="80">
        <f t="shared" si="20"/>
        <v>0.17857142857142858</v>
      </c>
      <c r="AG66" s="104">
        <f t="shared" si="21"/>
        <v>0.32142857142857145</v>
      </c>
      <c r="AH66" s="104" t="str">
        <f t="shared" si="22"/>
        <v>0.50-0.60</v>
      </c>
      <c r="AI66" s="80"/>
      <c r="AJ66" s="80"/>
      <c r="AK66" s="80"/>
      <c r="AL66" s="80"/>
      <c r="AM66" s="80"/>
      <c r="AN66" s="80"/>
      <c r="AO66" s="80"/>
      <c r="AP66" s="80"/>
      <c r="AQ66" s="80"/>
    </row>
    <row r="67" spans="1:43" ht="15" thickBot="1" x14ac:dyDescent="0.35">
      <c r="A67" s="102">
        <v>60.125</v>
      </c>
      <c r="B67" s="80">
        <v>355</v>
      </c>
      <c r="C67" s="93">
        <v>60.125</v>
      </c>
      <c r="D67" s="103">
        <v>355</v>
      </c>
      <c r="E67" s="93"/>
      <c r="F67" s="104"/>
      <c r="G67" s="80"/>
      <c r="H67" s="102">
        <v>61.281999999999982</v>
      </c>
      <c r="I67" s="80">
        <v>361</v>
      </c>
      <c r="J67" s="102">
        <v>61.281999999999982</v>
      </c>
      <c r="K67" s="80">
        <v>361</v>
      </c>
      <c r="L67" s="93"/>
      <c r="M67" s="105">
        <f t="shared" si="11"/>
        <v>6</v>
      </c>
      <c r="N67" s="80"/>
      <c r="O67" s="91">
        <v>41.874999999999972</v>
      </c>
      <c r="P67" s="92">
        <v>458</v>
      </c>
      <c r="Q67" s="92">
        <v>316</v>
      </c>
      <c r="R67" s="93">
        <v>291</v>
      </c>
      <c r="S67" s="92">
        <f t="shared" si="12"/>
        <v>0.29014084507042254</v>
      </c>
      <c r="T67" s="80">
        <f t="shared" si="13"/>
        <v>0.44936708860759494</v>
      </c>
      <c r="U67" s="91">
        <v>41.874999999999972</v>
      </c>
      <c r="V67" s="92">
        <v>458</v>
      </c>
      <c r="W67" s="92">
        <v>316</v>
      </c>
      <c r="X67" s="93">
        <v>291</v>
      </c>
      <c r="Y67" s="92">
        <f t="shared" si="14"/>
        <v>0.29014084507042254</v>
      </c>
      <c r="Z67" s="80">
        <f t="shared" si="15"/>
        <v>0.44936708860759494</v>
      </c>
      <c r="AA67" s="105">
        <f t="shared" si="16"/>
        <v>0.57388316151202745</v>
      </c>
      <c r="AB67" s="80"/>
      <c r="AC67" s="106">
        <f t="shared" si="18"/>
        <v>0.6</v>
      </c>
      <c r="AD67" s="107">
        <f>1</f>
        <v>1</v>
      </c>
      <c r="AE67" s="106">
        <f t="shared" si="19"/>
        <v>0</v>
      </c>
      <c r="AF67" s="107">
        <f t="shared" si="20"/>
        <v>3.5714285714285712E-2</v>
      </c>
      <c r="AG67" s="108">
        <f t="shared" si="21"/>
        <v>0.5714285714285714</v>
      </c>
      <c r="AH67" s="108" t="str">
        <f t="shared" si="22"/>
        <v>0.60-1.00</v>
      </c>
      <c r="AI67" s="80"/>
      <c r="AJ67" s="80"/>
      <c r="AK67" s="80"/>
      <c r="AL67" s="80"/>
      <c r="AM67" s="80"/>
      <c r="AN67" s="80"/>
      <c r="AO67" s="80"/>
      <c r="AP67" s="80"/>
      <c r="AQ67" s="80"/>
    </row>
    <row r="68" spans="1:43" x14ac:dyDescent="0.3">
      <c r="A68" s="102">
        <v>60.156000000000006</v>
      </c>
      <c r="B68" s="80">
        <v>381</v>
      </c>
      <c r="C68" s="93">
        <v>60.156000000000006</v>
      </c>
      <c r="D68" s="103">
        <v>381</v>
      </c>
      <c r="E68" s="93"/>
      <c r="F68" s="104"/>
      <c r="G68" s="80"/>
      <c r="H68" s="102">
        <v>60.907000000000039</v>
      </c>
      <c r="I68" s="80">
        <v>388</v>
      </c>
      <c r="J68" s="102">
        <v>60.907000000000039</v>
      </c>
      <c r="K68" s="80">
        <v>388</v>
      </c>
      <c r="L68" s="93"/>
      <c r="M68" s="105">
        <f t="shared" si="11"/>
        <v>7</v>
      </c>
      <c r="N68" s="80"/>
      <c r="O68" s="91">
        <v>40.859000000000037</v>
      </c>
      <c r="P68" s="92">
        <v>438</v>
      </c>
      <c r="Q68" s="92">
        <v>329</v>
      </c>
      <c r="R68" s="93">
        <v>285</v>
      </c>
      <c r="S68" s="92">
        <f t="shared" si="12"/>
        <v>0.14960629921259844</v>
      </c>
      <c r="T68" s="80">
        <f t="shared" si="13"/>
        <v>0.33130699088145898</v>
      </c>
      <c r="U68" s="91">
        <v>40.859000000000037</v>
      </c>
      <c r="V68" s="92">
        <v>438</v>
      </c>
      <c r="W68" s="92">
        <v>329</v>
      </c>
      <c r="X68" s="93">
        <v>285</v>
      </c>
      <c r="Y68" s="92">
        <f t="shared" si="14"/>
        <v>0.14960629921259844</v>
      </c>
      <c r="Z68" s="80">
        <f t="shared" si="15"/>
        <v>0.33130699088145898</v>
      </c>
      <c r="AA68" s="105">
        <f t="shared" si="16"/>
        <v>0.5368421052631579</v>
      </c>
      <c r="AB68" s="80"/>
      <c r="AC68" s="80"/>
      <c r="AD68" s="80"/>
      <c r="AE68" s="80">
        <v>30</v>
      </c>
      <c r="AF68" s="80">
        <v>30</v>
      </c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</row>
    <row r="69" spans="1:43" x14ac:dyDescent="0.3">
      <c r="A69" s="102">
        <v>60.140999999999963</v>
      </c>
      <c r="B69" s="80">
        <v>375</v>
      </c>
      <c r="C69" s="93">
        <v>60.140999999999963</v>
      </c>
      <c r="D69" s="103">
        <v>375</v>
      </c>
      <c r="E69" s="93"/>
      <c r="F69" s="104"/>
      <c r="G69" s="80"/>
      <c r="H69" s="102">
        <v>60.797000000000025</v>
      </c>
      <c r="I69" s="80">
        <v>378</v>
      </c>
      <c r="J69" s="102">
        <v>60.797000000000025</v>
      </c>
      <c r="K69" s="80">
        <v>378</v>
      </c>
      <c r="L69" s="93"/>
      <c r="M69" s="105">
        <f t="shared" si="11"/>
        <v>3</v>
      </c>
      <c r="N69" s="80"/>
      <c r="O69" s="91">
        <v>51.515999999999963</v>
      </c>
      <c r="P69" s="92">
        <v>467</v>
      </c>
      <c r="Q69" s="92">
        <v>312</v>
      </c>
      <c r="R69" s="93">
        <v>290</v>
      </c>
      <c r="S69" s="92">
        <f t="shared" si="12"/>
        <v>0.24533333333333332</v>
      </c>
      <c r="T69" s="80">
        <f t="shared" si="13"/>
        <v>0.49679487179487181</v>
      </c>
      <c r="U69" s="91">
        <v>51.515999999999963</v>
      </c>
      <c r="V69" s="92">
        <v>467</v>
      </c>
      <c r="W69" s="92">
        <v>312</v>
      </c>
      <c r="X69" s="93">
        <v>290</v>
      </c>
      <c r="Y69" s="92">
        <f t="shared" si="14"/>
        <v>0.24533333333333332</v>
      </c>
      <c r="Z69" s="80">
        <f t="shared" si="15"/>
        <v>0.49679487179487181</v>
      </c>
      <c r="AA69" s="105">
        <f t="shared" si="16"/>
        <v>0.6103448275862069</v>
      </c>
      <c r="AB69" s="80"/>
      <c r="AC69" s="80"/>
      <c r="AD69" s="80"/>
      <c r="AE69" s="80">
        <f>SUM(AE61:AE67)</f>
        <v>1.0714285714285714</v>
      </c>
      <c r="AF69" s="80">
        <f>SUM(AF61:AF67)</f>
        <v>1.0714285714285716</v>
      </c>
      <c r="AG69" s="80">
        <f>SUM(AG61:AG67)</f>
        <v>1.0357142857142856</v>
      </c>
      <c r="AH69" s="80"/>
      <c r="AI69" s="80"/>
      <c r="AJ69" s="80"/>
      <c r="AK69" s="80"/>
      <c r="AL69" s="80"/>
      <c r="AM69" s="80"/>
      <c r="AN69" s="80"/>
      <c r="AO69" s="80"/>
      <c r="AP69" s="80"/>
      <c r="AQ69" s="80"/>
    </row>
    <row r="70" spans="1:43" x14ac:dyDescent="0.3">
      <c r="A70" s="102">
        <v>60.093000000000075</v>
      </c>
      <c r="B70" s="80">
        <v>364</v>
      </c>
      <c r="C70" s="93">
        <v>60.093000000000075</v>
      </c>
      <c r="D70" s="103">
        <v>364</v>
      </c>
      <c r="E70" s="93"/>
      <c r="F70" s="104"/>
      <c r="G70" s="80"/>
      <c r="H70" s="102">
        <v>60.546999999999912</v>
      </c>
      <c r="I70" s="80">
        <v>360</v>
      </c>
      <c r="J70" s="102">
        <v>60.546999999999912</v>
      </c>
      <c r="K70" s="80">
        <v>360</v>
      </c>
      <c r="L70" s="93"/>
      <c r="M70" s="105">
        <f t="shared" si="11"/>
        <v>-4</v>
      </c>
      <c r="N70" s="80"/>
      <c r="O70" s="91">
        <v>40.343999999999994</v>
      </c>
      <c r="P70" s="92">
        <v>445</v>
      </c>
      <c r="Q70" s="92">
        <v>320</v>
      </c>
      <c r="R70" s="93">
        <v>276</v>
      </c>
      <c r="S70" s="92">
        <f t="shared" si="12"/>
        <v>0.22252747252747251</v>
      </c>
      <c r="T70" s="80">
        <f t="shared" si="13"/>
        <v>0.390625</v>
      </c>
      <c r="U70" s="91">
        <v>40.343999999999994</v>
      </c>
      <c r="V70" s="92">
        <v>445</v>
      </c>
      <c r="W70" s="92">
        <v>320</v>
      </c>
      <c r="X70" s="93">
        <v>276</v>
      </c>
      <c r="Y70" s="92">
        <f t="shared" si="14"/>
        <v>0.22252747252747251</v>
      </c>
      <c r="Z70" s="80">
        <f t="shared" si="15"/>
        <v>0.390625</v>
      </c>
      <c r="AA70" s="105">
        <f t="shared" si="16"/>
        <v>0.6123188405797102</v>
      </c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</row>
    <row r="71" spans="1:43" x14ac:dyDescent="0.3">
      <c r="A71" s="102">
        <v>60.140999999999963</v>
      </c>
      <c r="B71" s="80">
        <v>406</v>
      </c>
      <c r="C71" s="93">
        <v>60.140999999999963</v>
      </c>
      <c r="D71" s="103">
        <v>406</v>
      </c>
      <c r="E71" s="93"/>
      <c r="F71" s="104"/>
      <c r="G71" s="80"/>
      <c r="H71" s="102">
        <v>60.297000000000025</v>
      </c>
      <c r="I71" s="80">
        <v>393</v>
      </c>
      <c r="J71" s="102">
        <v>60.297000000000025</v>
      </c>
      <c r="K71" s="80">
        <v>393</v>
      </c>
      <c r="L71" s="93"/>
      <c r="M71" s="105">
        <f t="shared" si="11"/>
        <v>-13</v>
      </c>
      <c r="N71" s="80"/>
      <c r="O71" s="91">
        <v>48.953000000000031</v>
      </c>
      <c r="P71" s="92">
        <v>532</v>
      </c>
      <c r="Q71" s="92">
        <v>339</v>
      </c>
      <c r="R71" s="93">
        <v>298</v>
      </c>
      <c r="S71" s="92">
        <f t="shared" si="12"/>
        <v>0.31034482758620691</v>
      </c>
      <c r="T71" s="80">
        <f t="shared" si="13"/>
        <v>0.56932153392330387</v>
      </c>
      <c r="U71" s="91">
        <v>48.953000000000031</v>
      </c>
      <c r="V71" s="92">
        <v>532</v>
      </c>
      <c r="W71" s="92">
        <v>339</v>
      </c>
      <c r="X71" s="93">
        <v>298</v>
      </c>
      <c r="Y71" s="92">
        <f t="shared" si="14"/>
        <v>0.31034482758620691</v>
      </c>
      <c r="Z71" s="80">
        <f t="shared" si="15"/>
        <v>0.56932153392330387</v>
      </c>
      <c r="AA71" s="105">
        <f t="shared" si="16"/>
        <v>0.78523489932885904</v>
      </c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</row>
    <row r="72" spans="1:43" x14ac:dyDescent="0.3">
      <c r="A72" s="102">
        <v>60.094000000000051</v>
      </c>
      <c r="B72" s="80">
        <v>367</v>
      </c>
      <c r="C72" s="93">
        <v>60.094000000000051</v>
      </c>
      <c r="D72" s="103">
        <v>367</v>
      </c>
      <c r="E72" s="93"/>
      <c r="F72" s="104"/>
      <c r="G72" s="80"/>
      <c r="H72" s="102">
        <v>60.282000000000039</v>
      </c>
      <c r="I72" s="80">
        <v>366</v>
      </c>
      <c r="J72" s="102">
        <v>60.282000000000039</v>
      </c>
      <c r="K72" s="80">
        <v>366</v>
      </c>
      <c r="L72" s="93"/>
      <c r="M72" s="105">
        <f t="shared" si="11"/>
        <v>-1</v>
      </c>
      <c r="N72" s="80"/>
      <c r="O72" s="91">
        <v>50.874999999999943</v>
      </c>
      <c r="P72" s="92">
        <v>464</v>
      </c>
      <c r="Q72" s="92">
        <v>314</v>
      </c>
      <c r="R72" s="93">
        <v>269</v>
      </c>
      <c r="S72" s="92">
        <f t="shared" si="12"/>
        <v>0.26430517711171664</v>
      </c>
      <c r="T72" s="80">
        <f t="shared" si="13"/>
        <v>0.47770700636942676</v>
      </c>
      <c r="U72" s="91">
        <v>50.874999999999943</v>
      </c>
      <c r="V72" s="92">
        <v>464</v>
      </c>
      <c r="W72" s="92">
        <v>314</v>
      </c>
      <c r="X72" s="93">
        <v>269</v>
      </c>
      <c r="Y72" s="92">
        <f t="shared" si="14"/>
        <v>0.26430517711171664</v>
      </c>
      <c r="Z72" s="80">
        <f t="shared" si="15"/>
        <v>0.47770700636942676</v>
      </c>
      <c r="AA72" s="105">
        <f t="shared" si="16"/>
        <v>0.72490706319702602</v>
      </c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</row>
    <row r="73" spans="1:43" x14ac:dyDescent="0.3">
      <c r="A73" s="102">
        <v>60.139999999999986</v>
      </c>
      <c r="B73" s="80">
        <v>351</v>
      </c>
      <c r="C73" s="93">
        <v>60.139999999999986</v>
      </c>
      <c r="D73" s="103">
        <v>351</v>
      </c>
      <c r="E73" s="93"/>
      <c r="F73" s="104"/>
      <c r="G73" s="80"/>
      <c r="H73" s="102">
        <v>60.264999999999986</v>
      </c>
      <c r="I73" s="80">
        <v>346</v>
      </c>
      <c r="J73" s="102">
        <v>60.264999999999986</v>
      </c>
      <c r="K73" s="80">
        <v>346</v>
      </c>
      <c r="L73" s="93"/>
      <c r="M73" s="105">
        <f t="shared" si="11"/>
        <v>-5</v>
      </c>
      <c r="N73" s="80"/>
      <c r="O73" s="91">
        <v>45.953000000000088</v>
      </c>
      <c r="P73" s="92">
        <v>459</v>
      </c>
      <c r="Q73" s="92">
        <v>310</v>
      </c>
      <c r="R73" s="93">
        <v>310</v>
      </c>
      <c r="S73" s="92">
        <f t="shared" si="12"/>
        <v>0.30769230769230771</v>
      </c>
      <c r="T73" s="80">
        <f t="shared" si="13"/>
        <v>0.48064516129032259</v>
      </c>
      <c r="U73" s="91">
        <v>45.953000000000088</v>
      </c>
      <c r="V73" s="92">
        <v>459</v>
      </c>
      <c r="W73" s="92">
        <v>310</v>
      </c>
      <c r="X73" s="93">
        <v>310</v>
      </c>
      <c r="Y73" s="92">
        <f t="shared" si="14"/>
        <v>0.30769230769230771</v>
      </c>
      <c r="Z73" s="80">
        <f t="shared" si="15"/>
        <v>0.48064516129032259</v>
      </c>
      <c r="AA73" s="105">
        <f t="shared" si="16"/>
        <v>0.48064516129032259</v>
      </c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  <c r="AP73" s="80"/>
      <c r="AQ73" s="80"/>
    </row>
    <row r="74" spans="1:43" x14ac:dyDescent="0.3">
      <c r="A74" s="102">
        <v>60.125</v>
      </c>
      <c r="B74" s="80">
        <v>386</v>
      </c>
      <c r="C74" s="93">
        <v>60.125</v>
      </c>
      <c r="D74" s="103">
        <v>386</v>
      </c>
      <c r="E74" s="93"/>
      <c r="F74" s="104"/>
      <c r="G74" s="80"/>
      <c r="H74" s="102">
        <v>60.25</v>
      </c>
      <c r="I74" s="80">
        <v>372</v>
      </c>
      <c r="J74" s="102">
        <v>60.25</v>
      </c>
      <c r="K74" s="80">
        <v>372</v>
      </c>
      <c r="L74" s="93"/>
      <c r="M74" s="105">
        <f t="shared" si="11"/>
        <v>-14</v>
      </c>
      <c r="N74" s="80"/>
      <c r="O74" s="91">
        <v>56.687999999999988</v>
      </c>
      <c r="P74" s="92">
        <v>438</v>
      </c>
      <c r="Q74" s="92">
        <v>346</v>
      </c>
      <c r="R74" s="93">
        <v>304</v>
      </c>
      <c r="S74" s="92">
        <f t="shared" si="12"/>
        <v>0.13471502590673576</v>
      </c>
      <c r="T74" s="80">
        <f t="shared" si="13"/>
        <v>0.26589595375722541</v>
      </c>
      <c r="U74" s="91">
        <v>56.687999999999988</v>
      </c>
      <c r="V74" s="92">
        <v>438</v>
      </c>
      <c r="W74" s="92">
        <v>346</v>
      </c>
      <c r="X74" s="93">
        <v>304</v>
      </c>
      <c r="Y74" s="92">
        <f t="shared" si="14"/>
        <v>0.13471502590673576</v>
      </c>
      <c r="Z74" s="80">
        <f t="shared" si="15"/>
        <v>0.26589595375722541</v>
      </c>
      <c r="AA74" s="105">
        <f t="shared" si="16"/>
        <v>0.44078947368421051</v>
      </c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</row>
    <row r="75" spans="1:43" x14ac:dyDescent="0.3">
      <c r="A75" s="102">
        <v>60.093999999999937</v>
      </c>
      <c r="B75" s="80">
        <v>364</v>
      </c>
      <c r="C75" s="93">
        <v>60.093999999999937</v>
      </c>
      <c r="D75" s="103">
        <v>364</v>
      </c>
      <c r="E75" s="93"/>
      <c r="F75" s="104"/>
      <c r="G75" s="80"/>
      <c r="H75" s="102">
        <v>60.280999999999949</v>
      </c>
      <c r="I75" s="80">
        <v>363</v>
      </c>
      <c r="J75" s="102">
        <v>60.280999999999949</v>
      </c>
      <c r="K75" s="80">
        <v>363</v>
      </c>
      <c r="L75" s="93"/>
      <c r="M75" s="105">
        <f t="shared" si="11"/>
        <v>-1</v>
      </c>
      <c r="N75" s="80"/>
      <c r="O75" s="91">
        <v>48.483999999999924</v>
      </c>
      <c r="P75" s="92">
        <v>430</v>
      </c>
      <c r="Q75" s="92">
        <v>315</v>
      </c>
      <c r="R75" s="93">
        <v>279</v>
      </c>
      <c r="S75" s="92">
        <f t="shared" si="12"/>
        <v>0.18131868131868131</v>
      </c>
      <c r="T75" s="80">
        <f t="shared" si="13"/>
        <v>0.36507936507936506</v>
      </c>
      <c r="U75" s="91">
        <v>48.483999999999924</v>
      </c>
      <c r="V75" s="92">
        <v>430</v>
      </c>
      <c r="W75" s="92">
        <v>315</v>
      </c>
      <c r="X75" s="93">
        <v>279</v>
      </c>
      <c r="Y75" s="92">
        <f t="shared" si="14"/>
        <v>0.18131868131868131</v>
      </c>
      <c r="Z75" s="80">
        <f t="shared" si="15"/>
        <v>0.36507936507936506</v>
      </c>
      <c r="AA75" s="105">
        <f t="shared" si="16"/>
        <v>0.54121863799283154</v>
      </c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</row>
    <row r="76" spans="1:43" x14ac:dyDescent="0.3">
      <c r="A76" s="102">
        <v>60.141000000000076</v>
      </c>
      <c r="B76" s="80">
        <v>359</v>
      </c>
      <c r="C76" s="93">
        <v>60.141000000000076</v>
      </c>
      <c r="D76" s="103">
        <v>359</v>
      </c>
      <c r="E76" s="93"/>
      <c r="F76" s="104"/>
      <c r="G76" s="80"/>
      <c r="H76" s="102">
        <v>60.282000000000039</v>
      </c>
      <c r="I76" s="80">
        <v>350</v>
      </c>
      <c r="J76" s="102">
        <v>60.282000000000039</v>
      </c>
      <c r="K76" s="80">
        <v>350</v>
      </c>
      <c r="L76" s="93"/>
      <c r="M76" s="105">
        <f t="shared" si="11"/>
        <v>-9</v>
      </c>
      <c r="N76" s="80"/>
      <c r="O76" s="91">
        <v>49.984000000000037</v>
      </c>
      <c r="P76" s="92">
        <v>455</v>
      </c>
      <c r="Q76" s="92">
        <v>308</v>
      </c>
      <c r="R76" s="93">
        <v>265</v>
      </c>
      <c r="S76" s="92">
        <f t="shared" si="12"/>
        <v>0.26740947075208915</v>
      </c>
      <c r="T76" s="80">
        <f t="shared" si="13"/>
        <v>0.47727272727272729</v>
      </c>
      <c r="U76" s="91">
        <v>49.984000000000037</v>
      </c>
      <c r="V76" s="92">
        <v>455</v>
      </c>
      <c r="W76" s="92">
        <v>308</v>
      </c>
      <c r="X76" s="93">
        <v>265</v>
      </c>
      <c r="Y76" s="92">
        <f t="shared" si="14"/>
        <v>0.26740947075208915</v>
      </c>
      <c r="Z76" s="80">
        <f t="shared" si="15"/>
        <v>0.47727272727272729</v>
      </c>
      <c r="AA76" s="105">
        <f t="shared" si="16"/>
        <v>0.71698113207547165</v>
      </c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</row>
    <row r="77" spans="1:43" x14ac:dyDescent="0.3">
      <c r="A77" s="102">
        <v>60.125</v>
      </c>
      <c r="B77" s="80">
        <v>348</v>
      </c>
      <c r="C77" s="93">
        <v>60.125</v>
      </c>
      <c r="D77" s="103">
        <v>348</v>
      </c>
      <c r="E77" s="93"/>
      <c r="F77" s="104"/>
      <c r="G77" s="80"/>
      <c r="H77" s="102">
        <v>60.202999999999975</v>
      </c>
      <c r="I77" s="80">
        <v>347</v>
      </c>
      <c r="J77" s="102">
        <v>60.202999999999975</v>
      </c>
      <c r="K77" s="80">
        <v>347</v>
      </c>
      <c r="L77" s="93"/>
      <c r="M77" s="105">
        <f t="shared" si="11"/>
        <v>-1</v>
      </c>
      <c r="N77" s="80"/>
      <c r="O77" s="91">
        <v>50</v>
      </c>
      <c r="P77" s="92">
        <v>439</v>
      </c>
      <c r="Q77" s="92">
        <v>322</v>
      </c>
      <c r="R77" s="93">
        <v>280</v>
      </c>
      <c r="S77" s="92">
        <f t="shared" si="12"/>
        <v>0.2614942528735632</v>
      </c>
      <c r="T77" s="80">
        <f t="shared" si="13"/>
        <v>0.36335403726708076</v>
      </c>
      <c r="U77" s="91">
        <v>50</v>
      </c>
      <c r="V77" s="92">
        <v>439</v>
      </c>
      <c r="W77" s="92">
        <v>322</v>
      </c>
      <c r="X77" s="93">
        <v>280</v>
      </c>
      <c r="Y77" s="92">
        <f t="shared" si="14"/>
        <v>0.2614942528735632</v>
      </c>
      <c r="Z77" s="80">
        <f t="shared" si="15"/>
        <v>0.36335403726708076</v>
      </c>
      <c r="AA77" s="105">
        <f t="shared" si="16"/>
        <v>0.56785714285714284</v>
      </c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</row>
    <row r="78" spans="1:43" x14ac:dyDescent="0.3">
      <c r="A78" s="102">
        <v>60.092999999999847</v>
      </c>
      <c r="B78" s="80">
        <v>355</v>
      </c>
      <c r="C78" s="93">
        <v>60.092999999999847</v>
      </c>
      <c r="D78" s="103">
        <v>355</v>
      </c>
      <c r="E78" s="93"/>
      <c r="F78" s="104"/>
      <c r="G78" s="80"/>
      <c r="H78" s="102">
        <v>60.405999999999949</v>
      </c>
      <c r="I78" s="80">
        <v>362</v>
      </c>
      <c r="J78" s="102">
        <v>60.405999999999949</v>
      </c>
      <c r="K78" s="80">
        <v>362</v>
      </c>
      <c r="L78" s="93"/>
      <c r="M78" s="105">
        <f t="shared" si="11"/>
        <v>7</v>
      </c>
      <c r="N78" s="80"/>
      <c r="O78" s="91">
        <v>53.532000000000039</v>
      </c>
      <c r="P78" s="92">
        <v>484</v>
      </c>
      <c r="Q78" s="92">
        <v>318</v>
      </c>
      <c r="R78" s="93">
        <v>276</v>
      </c>
      <c r="S78" s="92">
        <f t="shared" si="12"/>
        <v>0.36338028169014086</v>
      </c>
      <c r="T78" s="80">
        <f t="shared" si="13"/>
        <v>0.5220125786163522</v>
      </c>
      <c r="U78" s="91">
        <v>53.532000000000039</v>
      </c>
      <c r="V78" s="92">
        <v>484</v>
      </c>
      <c r="W78" s="92">
        <v>318</v>
      </c>
      <c r="X78" s="93">
        <v>276</v>
      </c>
      <c r="Y78" s="92">
        <f t="shared" si="14"/>
        <v>0.36338028169014086</v>
      </c>
      <c r="Z78" s="80">
        <f t="shared" si="15"/>
        <v>0.5220125786163522</v>
      </c>
      <c r="AA78" s="105">
        <f t="shared" si="16"/>
        <v>0.75362318840579712</v>
      </c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</row>
    <row r="79" spans="1:43" x14ac:dyDescent="0.3">
      <c r="A79" s="102">
        <v>60.110000000000127</v>
      </c>
      <c r="B79" s="80">
        <v>372</v>
      </c>
      <c r="C79" s="93">
        <v>60.110000000000127</v>
      </c>
      <c r="D79" s="103">
        <v>372</v>
      </c>
      <c r="E79" s="93"/>
      <c r="F79" s="104"/>
      <c r="G79" s="80"/>
      <c r="H79" s="102">
        <v>60.594000000000051</v>
      </c>
      <c r="I79" s="80">
        <v>385</v>
      </c>
      <c r="J79" s="102">
        <v>60.594000000000051</v>
      </c>
      <c r="K79" s="80">
        <v>385</v>
      </c>
      <c r="L79" s="93"/>
      <c r="M79" s="105">
        <f t="shared" si="11"/>
        <v>13</v>
      </c>
      <c r="N79" s="80"/>
      <c r="O79" s="91">
        <v>48.530999999999949</v>
      </c>
      <c r="P79" s="92">
        <v>469</v>
      </c>
      <c r="Q79" s="92">
        <v>327</v>
      </c>
      <c r="R79" s="93">
        <v>282</v>
      </c>
      <c r="S79" s="92">
        <f t="shared" si="12"/>
        <v>0.260752688172043</v>
      </c>
      <c r="T79" s="80">
        <f t="shared" si="13"/>
        <v>0.43425076452599387</v>
      </c>
      <c r="U79" s="91">
        <v>48.530999999999949</v>
      </c>
      <c r="V79" s="92">
        <v>469</v>
      </c>
      <c r="W79" s="92">
        <v>327</v>
      </c>
      <c r="X79" s="93">
        <v>282</v>
      </c>
      <c r="Y79" s="92">
        <f t="shared" si="14"/>
        <v>0.260752688172043</v>
      </c>
      <c r="Z79" s="80">
        <f>(V79-W79)/W79</f>
        <v>0.43425076452599387</v>
      </c>
      <c r="AA79" s="105">
        <f>(V79-X79)/X79</f>
        <v>0.66312056737588654</v>
      </c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  <c r="AP79" s="80"/>
      <c r="AQ79" s="80"/>
    </row>
    <row r="80" spans="1:43" x14ac:dyDescent="0.3">
      <c r="A80" s="102">
        <v>60.172000000000025</v>
      </c>
      <c r="B80" s="80">
        <v>375</v>
      </c>
      <c r="C80" s="93">
        <v>60.172000000000025</v>
      </c>
      <c r="D80" s="103">
        <v>375</v>
      </c>
      <c r="E80" s="93"/>
      <c r="F80" s="104"/>
      <c r="G80" s="80"/>
      <c r="H80" s="102">
        <v>60.641000000000076</v>
      </c>
      <c r="I80" s="80">
        <v>413</v>
      </c>
      <c r="J80" s="102">
        <v>60.641000000000076</v>
      </c>
      <c r="K80" s="80">
        <v>413</v>
      </c>
      <c r="L80" s="93"/>
      <c r="M80" s="105">
        <f t="shared" si="11"/>
        <v>38</v>
      </c>
      <c r="N80" s="80"/>
      <c r="O80" s="91">
        <v>46.031000000000063</v>
      </c>
      <c r="P80" s="92">
        <v>454</v>
      </c>
      <c r="Q80" s="92">
        <v>337</v>
      </c>
      <c r="R80" s="93">
        <v>286</v>
      </c>
      <c r="S80" s="92">
        <f t="shared" si="12"/>
        <v>0.21066666666666667</v>
      </c>
      <c r="T80" s="80">
        <f t="shared" si="13"/>
        <v>0.34718100890207715</v>
      </c>
      <c r="U80" s="91">
        <v>46.031000000000063</v>
      </c>
      <c r="V80" s="92">
        <v>454</v>
      </c>
      <c r="W80" s="92">
        <v>337</v>
      </c>
      <c r="X80" s="93">
        <v>286</v>
      </c>
      <c r="Y80" s="92">
        <f t="shared" ref="Y80:Y86" si="23">(V80-$B80)/$B80</f>
        <v>0.21066666666666667</v>
      </c>
      <c r="Z80" s="80">
        <f t="shared" ref="Z80:Z86" si="24">(V80-W80)/W80</f>
        <v>0.34718100890207715</v>
      </c>
      <c r="AA80" s="105">
        <f t="shared" ref="AA80:AA86" si="25">(V80-X80)/X80</f>
        <v>0.58741258741258739</v>
      </c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  <c r="AQ80" s="80"/>
    </row>
    <row r="81" spans="1:43" x14ac:dyDescent="0.3">
      <c r="A81" s="102">
        <v>60.172000000000025</v>
      </c>
      <c r="B81" s="80">
        <v>389</v>
      </c>
      <c r="C81" s="93">
        <v>60.172000000000025</v>
      </c>
      <c r="D81" s="103">
        <v>389</v>
      </c>
      <c r="E81" s="93"/>
      <c r="F81" s="104"/>
      <c r="G81" s="80"/>
      <c r="H81" s="102">
        <v>60.936999999999898</v>
      </c>
      <c r="I81" s="80">
        <v>405</v>
      </c>
      <c r="J81" s="102">
        <v>60.936999999999898</v>
      </c>
      <c r="K81" s="80">
        <v>405</v>
      </c>
      <c r="L81" s="93"/>
      <c r="M81" s="105">
        <f t="shared" si="11"/>
        <v>16</v>
      </c>
      <c r="N81" s="80"/>
      <c r="O81" s="91">
        <v>36.218999999999937</v>
      </c>
      <c r="P81" s="92">
        <v>502</v>
      </c>
      <c r="Q81" s="92">
        <v>344</v>
      </c>
      <c r="R81" s="93">
        <v>278</v>
      </c>
      <c r="S81" s="92">
        <f t="shared" si="12"/>
        <v>0.29048843187660667</v>
      </c>
      <c r="T81" s="80">
        <f t="shared" si="13"/>
        <v>0.45930232558139533</v>
      </c>
      <c r="U81" s="91">
        <v>36.218999999999937</v>
      </c>
      <c r="V81" s="92">
        <v>502</v>
      </c>
      <c r="W81" s="92">
        <v>344</v>
      </c>
      <c r="X81" s="93">
        <v>278</v>
      </c>
      <c r="Y81" s="92">
        <f t="shared" si="23"/>
        <v>0.29048843187660667</v>
      </c>
      <c r="Z81" s="80">
        <f t="shared" si="24"/>
        <v>0.45930232558139533</v>
      </c>
      <c r="AA81" s="105">
        <f t="shared" si="25"/>
        <v>0.80575539568345322</v>
      </c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</row>
    <row r="82" spans="1:43" x14ac:dyDescent="0.3">
      <c r="A82" s="102">
        <v>60.2349999999999</v>
      </c>
      <c r="B82" s="80">
        <v>376</v>
      </c>
      <c r="C82" s="93">
        <v>60.2349999999999</v>
      </c>
      <c r="D82" s="103">
        <v>376</v>
      </c>
      <c r="E82" s="93"/>
      <c r="F82" s="104"/>
      <c r="G82" s="80"/>
      <c r="H82" s="102">
        <v>60.593000000000075</v>
      </c>
      <c r="I82" s="80">
        <v>388</v>
      </c>
      <c r="J82" s="102">
        <v>60.593000000000075</v>
      </c>
      <c r="K82" s="80">
        <v>388</v>
      </c>
      <c r="L82" s="93"/>
      <c r="M82" s="105">
        <f t="shared" si="11"/>
        <v>12</v>
      </c>
      <c r="N82" s="80"/>
      <c r="O82" s="91">
        <v>45.702999999999975</v>
      </c>
      <c r="P82" s="92">
        <v>533</v>
      </c>
      <c r="Q82" s="92">
        <v>334</v>
      </c>
      <c r="R82" s="93">
        <v>310</v>
      </c>
      <c r="S82" s="92">
        <f t="shared" si="12"/>
        <v>0.41755319148936171</v>
      </c>
      <c r="T82" s="80">
        <f t="shared" si="13"/>
        <v>0.59580838323353291</v>
      </c>
      <c r="U82" s="91">
        <v>45.702999999999975</v>
      </c>
      <c r="V82" s="92">
        <v>533</v>
      </c>
      <c r="W82" s="92">
        <v>334</v>
      </c>
      <c r="X82" s="93">
        <v>310</v>
      </c>
      <c r="Y82" s="92">
        <f t="shared" si="23"/>
        <v>0.41755319148936171</v>
      </c>
      <c r="Z82" s="80">
        <f t="shared" si="24"/>
        <v>0.59580838323353291</v>
      </c>
      <c r="AA82" s="105">
        <f t="shared" si="25"/>
        <v>0.71935483870967742</v>
      </c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</row>
    <row r="83" spans="1:43" x14ac:dyDescent="0.3">
      <c r="A83" s="102">
        <v>60.266000000000076</v>
      </c>
      <c r="B83" s="80">
        <v>377</v>
      </c>
      <c r="C83" s="93">
        <v>60.266000000000076</v>
      </c>
      <c r="D83" s="103">
        <v>377</v>
      </c>
      <c r="E83" s="93"/>
      <c r="F83" s="104"/>
      <c r="G83" s="80"/>
      <c r="H83" s="102">
        <v>60.577999999999975</v>
      </c>
      <c r="I83" s="80">
        <v>388</v>
      </c>
      <c r="J83" s="102">
        <v>60.577999999999975</v>
      </c>
      <c r="K83" s="80">
        <v>388</v>
      </c>
      <c r="L83" s="93"/>
      <c r="M83" s="105">
        <f t="shared" si="11"/>
        <v>11</v>
      </c>
      <c r="N83" s="80"/>
      <c r="O83" s="91">
        <v>38.530999999999949</v>
      </c>
      <c r="P83" s="92">
        <v>488</v>
      </c>
      <c r="Q83" s="92">
        <v>339</v>
      </c>
      <c r="R83" s="93">
        <v>275</v>
      </c>
      <c r="S83" s="92">
        <f t="shared" si="12"/>
        <v>0.29442970822281167</v>
      </c>
      <c r="T83" s="80">
        <f t="shared" si="13"/>
        <v>0.43952802359882004</v>
      </c>
      <c r="U83" s="91">
        <v>38.530999999999949</v>
      </c>
      <c r="V83" s="92">
        <v>488</v>
      </c>
      <c r="W83" s="92">
        <v>339</v>
      </c>
      <c r="X83" s="93">
        <v>275</v>
      </c>
      <c r="Y83" s="92">
        <f t="shared" si="23"/>
        <v>0.29442970822281167</v>
      </c>
      <c r="Z83" s="80">
        <f t="shared" si="24"/>
        <v>0.43952802359882004</v>
      </c>
      <c r="AA83" s="105">
        <f t="shared" si="25"/>
        <v>0.77454545454545454</v>
      </c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</row>
    <row r="84" spans="1:43" x14ac:dyDescent="0.3">
      <c r="A84" s="102">
        <v>60.233999999999924</v>
      </c>
      <c r="B84" s="80">
        <v>377</v>
      </c>
      <c r="C84" s="93">
        <v>60.233999999999924</v>
      </c>
      <c r="D84" s="103">
        <v>377</v>
      </c>
      <c r="E84" s="93"/>
      <c r="F84" s="104"/>
      <c r="G84" s="80"/>
      <c r="H84" s="102">
        <v>60.4849999999999</v>
      </c>
      <c r="I84" s="80">
        <v>372</v>
      </c>
      <c r="J84" s="102">
        <v>60.4849999999999</v>
      </c>
      <c r="K84" s="80">
        <v>372</v>
      </c>
      <c r="L84" s="93"/>
      <c r="M84" s="105">
        <f t="shared" si="11"/>
        <v>-5</v>
      </c>
      <c r="N84" s="80"/>
      <c r="O84" s="91">
        <v>38</v>
      </c>
      <c r="P84" s="92">
        <v>471</v>
      </c>
      <c r="Q84" s="92">
        <v>331</v>
      </c>
      <c r="R84" s="93">
        <v>296</v>
      </c>
      <c r="S84" s="92">
        <f t="shared" si="12"/>
        <v>0.24933687002652519</v>
      </c>
      <c r="T84" s="80">
        <f t="shared" si="13"/>
        <v>0.42296072507552868</v>
      </c>
      <c r="U84" s="91">
        <v>38</v>
      </c>
      <c r="V84" s="92">
        <v>471</v>
      </c>
      <c r="W84" s="92">
        <v>331</v>
      </c>
      <c r="X84" s="93">
        <v>296</v>
      </c>
      <c r="Y84" s="92">
        <f t="shared" si="23"/>
        <v>0.24933687002652519</v>
      </c>
      <c r="Z84" s="80">
        <f t="shared" si="24"/>
        <v>0.42296072507552868</v>
      </c>
      <c r="AA84" s="105">
        <f t="shared" si="25"/>
        <v>0.59121621621621623</v>
      </c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</row>
    <row r="85" spans="1:43" x14ac:dyDescent="0.3">
      <c r="A85" s="102">
        <v>60.280999999999949</v>
      </c>
      <c r="B85" s="80">
        <v>364</v>
      </c>
      <c r="C85" s="93">
        <v>60.280999999999949</v>
      </c>
      <c r="D85" s="103">
        <v>364</v>
      </c>
      <c r="E85" s="93"/>
      <c r="F85" s="104"/>
      <c r="G85" s="80"/>
      <c r="H85" s="102">
        <v>60.281000000000176</v>
      </c>
      <c r="I85" s="80">
        <v>364</v>
      </c>
      <c r="J85" s="102">
        <v>60.281000000000176</v>
      </c>
      <c r="K85" s="80">
        <v>364</v>
      </c>
      <c r="L85" s="93"/>
      <c r="M85" s="105">
        <f t="shared" si="11"/>
        <v>0</v>
      </c>
      <c r="N85" s="80"/>
      <c r="O85" s="91">
        <v>40.360000000000127</v>
      </c>
      <c r="P85" s="92">
        <v>476</v>
      </c>
      <c r="Q85" s="92">
        <v>319</v>
      </c>
      <c r="R85" s="93">
        <v>285</v>
      </c>
      <c r="S85" s="92">
        <f t="shared" si="12"/>
        <v>0.30769230769230771</v>
      </c>
      <c r="T85" s="80">
        <f t="shared" si="13"/>
        <v>0.49216300940438873</v>
      </c>
      <c r="U85" s="91">
        <v>40.360000000000127</v>
      </c>
      <c r="V85" s="92">
        <v>476</v>
      </c>
      <c r="W85" s="92">
        <v>319</v>
      </c>
      <c r="X85" s="93">
        <v>285</v>
      </c>
      <c r="Y85" s="92">
        <f t="shared" si="23"/>
        <v>0.30769230769230771</v>
      </c>
      <c r="Z85" s="80">
        <f t="shared" si="24"/>
        <v>0.49216300940438873</v>
      </c>
      <c r="AA85" s="105">
        <f t="shared" si="25"/>
        <v>0.6701754385964912</v>
      </c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</row>
    <row r="86" spans="1:43" x14ac:dyDescent="0.3">
      <c r="A86" s="102">
        <v>60.25</v>
      </c>
      <c r="B86" s="80">
        <v>367</v>
      </c>
      <c r="C86" s="93">
        <v>60.25</v>
      </c>
      <c r="D86" s="103">
        <v>367</v>
      </c>
      <c r="E86" s="93"/>
      <c r="F86" s="104"/>
      <c r="G86" s="80"/>
      <c r="H86" s="102">
        <v>60.280999999999949</v>
      </c>
      <c r="I86" s="80">
        <v>368</v>
      </c>
      <c r="J86" s="102">
        <v>60.280999999999949</v>
      </c>
      <c r="K86" s="80">
        <v>368</v>
      </c>
      <c r="L86" s="93"/>
      <c r="M86" s="105">
        <f t="shared" si="11"/>
        <v>1</v>
      </c>
      <c r="N86" s="80"/>
      <c r="O86" s="91">
        <v>43.093000000000075</v>
      </c>
      <c r="P86" s="92">
        <v>458</v>
      </c>
      <c r="Q86" s="92">
        <v>339</v>
      </c>
      <c r="R86" s="93">
        <v>320</v>
      </c>
      <c r="S86" s="92">
        <f t="shared" si="12"/>
        <v>0.24795640326975477</v>
      </c>
      <c r="T86" s="80">
        <f t="shared" si="13"/>
        <v>0.35103244837758113</v>
      </c>
      <c r="U86" s="91">
        <v>43.093000000000075</v>
      </c>
      <c r="V86" s="92">
        <v>458</v>
      </c>
      <c r="W86" s="92">
        <v>339</v>
      </c>
      <c r="X86" s="93">
        <v>320</v>
      </c>
      <c r="Y86" s="92">
        <f t="shared" si="23"/>
        <v>0.24795640326975477</v>
      </c>
      <c r="Z86" s="80">
        <f t="shared" si="24"/>
        <v>0.35103244837758113</v>
      </c>
      <c r="AA86" s="105">
        <f t="shared" si="25"/>
        <v>0.43125000000000002</v>
      </c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</row>
    <row r="87" spans="1:43" x14ac:dyDescent="0.3">
      <c r="A87" s="102">
        <v>60.156000000000176</v>
      </c>
      <c r="B87" s="80">
        <v>359</v>
      </c>
      <c r="C87" s="93">
        <v>60.156000000000176</v>
      </c>
      <c r="D87" s="103">
        <v>359</v>
      </c>
      <c r="E87" s="93"/>
      <c r="F87" s="104"/>
      <c r="G87" s="80"/>
      <c r="H87" s="102">
        <v>60.125</v>
      </c>
      <c r="I87" s="80">
        <v>358</v>
      </c>
      <c r="J87" s="102">
        <v>60.125</v>
      </c>
      <c r="K87" s="80">
        <v>358</v>
      </c>
      <c r="L87" s="93"/>
      <c r="M87" s="105">
        <f t="shared" si="11"/>
        <v>-1</v>
      </c>
      <c r="N87" s="80"/>
      <c r="O87" s="91">
        <v>47.75</v>
      </c>
      <c r="P87" s="92">
        <v>484</v>
      </c>
      <c r="Q87" s="92">
        <v>310</v>
      </c>
      <c r="R87" s="93">
        <v>301</v>
      </c>
      <c r="S87" s="92">
        <f t="shared" si="12"/>
        <v>0.34818941504178275</v>
      </c>
      <c r="T87" s="80">
        <f t="shared" si="13"/>
        <v>0.56129032258064515</v>
      </c>
      <c r="U87" s="91">
        <v>47.75</v>
      </c>
      <c r="V87" s="92">
        <v>484</v>
      </c>
      <c r="W87" s="92">
        <v>310</v>
      </c>
      <c r="X87" s="93">
        <v>301</v>
      </c>
      <c r="Y87" s="92">
        <f>(V87-$B87)/$B87</f>
        <v>0.34818941504178275</v>
      </c>
      <c r="Z87" s="80">
        <f>(V87-W87)/W87</f>
        <v>0.56129032258064515</v>
      </c>
      <c r="AA87" s="105">
        <f>(V87-X87)/X87</f>
        <v>0.60797342192691028</v>
      </c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</row>
    <row r="88" spans="1:43" x14ac:dyDescent="0.3">
      <c r="A88" s="102">
        <v>60.280999999999949</v>
      </c>
      <c r="B88" s="80">
        <v>367</v>
      </c>
      <c r="C88" s="93">
        <v>60.280999999999949</v>
      </c>
      <c r="D88" s="103">
        <v>367</v>
      </c>
      <c r="E88" s="93"/>
      <c r="F88" s="104"/>
      <c r="G88" s="80"/>
      <c r="H88" s="102">
        <v>60.125</v>
      </c>
      <c r="I88" s="80">
        <v>365</v>
      </c>
      <c r="J88" s="102">
        <v>60.125</v>
      </c>
      <c r="K88" s="80">
        <v>365</v>
      </c>
      <c r="L88" s="93"/>
      <c r="M88" s="105">
        <f t="shared" si="11"/>
        <v>-2</v>
      </c>
      <c r="N88" s="80"/>
      <c r="O88" s="91">
        <v>53.1099999999999</v>
      </c>
      <c r="P88" s="92">
        <v>452</v>
      </c>
      <c r="Q88" s="92">
        <v>329</v>
      </c>
      <c r="R88" s="93">
        <v>288</v>
      </c>
      <c r="S88" s="92">
        <f t="shared" si="12"/>
        <v>0.23160762942779292</v>
      </c>
      <c r="T88" s="80">
        <f t="shared" si="13"/>
        <v>0.37386018237082069</v>
      </c>
      <c r="U88" s="91">
        <v>53.1099999999999</v>
      </c>
      <c r="V88" s="92">
        <v>452</v>
      </c>
      <c r="W88" s="92">
        <v>329</v>
      </c>
      <c r="X88" s="93">
        <v>288</v>
      </c>
      <c r="Y88" s="92">
        <f>(V88-$B88)/$B88</f>
        <v>0.23160762942779292</v>
      </c>
      <c r="Z88" s="80">
        <f>(V88-W88)/W88</f>
        <v>0.37386018237082069</v>
      </c>
      <c r="AA88" s="105">
        <f>(V88-X88)/X88</f>
        <v>0.56944444444444442</v>
      </c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</row>
    <row r="89" spans="1:43" ht="15" thickBot="1" x14ac:dyDescent="0.35">
      <c r="A89" s="106">
        <v>60.202999999999975</v>
      </c>
      <c r="B89" s="107">
        <v>388</v>
      </c>
      <c r="C89" s="110">
        <v>60.202999999999975</v>
      </c>
      <c r="D89" s="109">
        <v>388</v>
      </c>
      <c r="E89" s="110"/>
      <c r="F89" s="108"/>
      <c r="G89" s="111"/>
      <c r="H89" s="106">
        <v>60.172000000000025</v>
      </c>
      <c r="I89" s="107">
        <v>386</v>
      </c>
      <c r="J89" s="106">
        <v>60.172000000000025</v>
      </c>
      <c r="K89" s="107">
        <v>386</v>
      </c>
      <c r="L89" s="110"/>
      <c r="M89" s="114">
        <f t="shared" si="11"/>
        <v>-2</v>
      </c>
      <c r="N89" s="111"/>
      <c r="O89" s="112">
        <v>49.733999999999924</v>
      </c>
      <c r="P89" s="113">
        <v>488</v>
      </c>
      <c r="Q89" s="113">
        <v>346</v>
      </c>
      <c r="R89" s="110">
        <v>291</v>
      </c>
      <c r="S89" s="113">
        <f t="shared" si="12"/>
        <v>0.25773195876288657</v>
      </c>
      <c r="T89" s="107">
        <f t="shared" si="13"/>
        <v>0.41040462427745666</v>
      </c>
      <c r="U89" s="112">
        <v>49.733999999999924</v>
      </c>
      <c r="V89" s="113">
        <v>488</v>
      </c>
      <c r="W89" s="113">
        <v>346</v>
      </c>
      <c r="X89" s="110">
        <v>291</v>
      </c>
      <c r="Y89" s="113">
        <f>(V89-$B89)/$B89</f>
        <v>0.25773195876288657</v>
      </c>
      <c r="Z89" s="107">
        <f>(V89-W89)/W89</f>
        <v>0.41040462427745666</v>
      </c>
      <c r="AA89" s="114">
        <f>(V89-X89)/X89</f>
        <v>0.67697594501718217</v>
      </c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  <c r="AQ89" s="80"/>
    </row>
    <row r="90" spans="1:43" x14ac:dyDescent="0.3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</row>
    <row r="91" spans="1:43" x14ac:dyDescent="0.3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79" t="s">
        <v>21</v>
      </c>
      <c r="AD91" s="80">
        <v>0.05</v>
      </c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</row>
    <row r="92" spans="1:43" x14ac:dyDescent="0.3">
      <c r="A92" s="80">
        <f>AVERAGE(A60:A89)</f>
        <v>60.493233333333336</v>
      </c>
      <c r="B92" s="80"/>
      <c r="C92" s="80">
        <f>AVERAGE(C60:C89)</f>
        <v>60.219900000000003</v>
      </c>
      <c r="D92" s="80" t="s">
        <v>17</v>
      </c>
      <c r="E92" s="80"/>
      <c r="F92" s="80"/>
      <c r="G92" s="80"/>
      <c r="H92" s="80">
        <f>AVERAGE(H60:H89)</f>
        <v>60.435500000000005</v>
      </c>
      <c r="I92" s="80"/>
      <c r="J92" s="80">
        <f>AVERAGE(J60:J89)</f>
        <v>60.435500000000005</v>
      </c>
      <c r="K92" s="80" t="s">
        <v>17</v>
      </c>
      <c r="L92" s="80"/>
      <c r="M92" s="80"/>
      <c r="N92" s="80"/>
      <c r="O92" s="80">
        <f>AVERAGE(O60:O89)</f>
        <v>44.045299999999997</v>
      </c>
      <c r="P92" s="80"/>
      <c r="Q92" s="80"/>
      <c r="R92" s="80"/>
      <c r="S92" s="80"/>
      <c r="T92" s="80"/>
      <c r="U92" s="80">
        <f>AVERAGE(U60:U89)</f>
        <v>44.045299999999997</v>
      </c>
      <c r="V92" s="80" t="s">
        <v>17</v>
      </c>
      <c r="W92" s="80"/>
      <c r="X92" s="80"/>
      <c r="Y92" s="80"/>
      <c r="Z92" s="80"/>
      <c r="AA92" s="80"/>
      <c r="AB92" s="80" t="s">
        <v>26</v>
      </c>
      <c r="AC92" s="79" t="s">
        <v>19</v>
      </c>
      <c r="AD92" s="80">
        <f>_xlfn.T.TEST(C60:C89,U60:U89,1,3)</f>
        <v>2.106380853647964E-13</v>
      </c>
      <c r="AE92" s="126" t="s">
        <v>22</v>
      </c>
      <c r="AF92" s="126"/>
      <c r="AG92" s="126"/>
      <c r="AH92" s="126"/>
      <c r="AI92" s="126"/>
      <c r="AJ92" s="80" t="s">
        <v>24</v>
      </c>
      <c r="AK92" s="80"/>
      <c r="AL92" s="80"/>
      <c r="AM92" s="80"/>
      <c r="AN92" s="80"/>
      <c r="AO92" s="80"/>
      <c r="AP92" s="80"/>
      <c r="AQ92" s="80"/>
    </row>
    <row r="93" spans="1:43" x14ac:dyDescent="0.3">
      <c r="A93" s="80"/>
      <c r="B93" s="80"/>
      <c r="C93" s="80">
        <f>_xlfn.STDEV.S(C60:C89)</f>
        <v>0.25032962407524528</v>
      </c>
      <c r="D93" s="79">
        <f>C93/C92</f>
        <v>4.156925270139028E-3</v>
      </c>
      <c r="E93" s="80"/>
      <c r="F93" s="80"/>
      <c r="G93" s="80"/>
      <c r="H93" s="80"/>
      <c r="I93" s="80"/>
      <c r="J93" s="80">
        <f>_xlfn.STDEV.S(J60:J89)</f>
        <v>0.29607451881182084</v>
      </c>
      <c r="K93" s="79">
        <f>J93/J92</f>
        <v>4.8990166179120028E-3</v>
      </c>
      <c r="L93" s="80"/>
      <c r="M93" s="80"/>
      <c r="N93" s="80"/>
      <c r="O93" s="80"/>
      <c r="P93" s="80"/>
      <c r="Q93" s="80"/>
      <c r="R93" s="80"/>
      <c r="S93" s="80"/>
      <c r="T93" s="80"/>
      <c r="U93" s="80">
        <f>_xlfn.STDEV.S(U60:U89)</f>
        <v>7.1608901688508482</v>
      </c>
      <c r="V93" s="79">
        <f>U93/U92</f>
        <v>0.16258012021375376</v>
      </c>
      <c r="W93" s="80"/>
      <c r="X93" s="80"/>
      <c r="Y93" s="80"/>
      <c r="Z93" s="80"/>
      <c r="AA93" s="80"/>
      <c r="AB93" s="80" t="s">
        <v>20</v>
      </c>
      <c r="AC93" s="79" t="s">
        <v>19</v>
      </c>
      <c r="AD93" s="80">
        <f>_xlfn.T.TEST(C60:C89,J60:J89,2,1)</f>
        <v>9.7830107654925877E-3</v>
      </c>
      <c r="AE93" s="126" t="s">
        <v>22</v>
      </c>
      <c r="AF93" s="126"/>
      <c r="AG93" s="126"/>
      <c r="AH93" s="126"/>
      <c r="AI93" s="126"/>
      <c r="AJ93" s="80" t="s">
        <v>25</v>
      </c>
      <c r="AK93" s="80"/>
      <c r="AL93" s="80"/>
      <c r="AM93" s="80"/>
      <c r="AN93" s="80"/>
      <c r="AO93" s="80"/>
      <c r="AP93" s="80"/>
      <c r="AQ93" s="80"/>
    </row>
    <row r="94" spans="1:43" x14ac:dyDescent="0.3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</row>
    <row r="95" spans="1:43" x14ac:dyDescent="0.3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</row>
    <row r="96" spans="1:43" x14ac:dyDescent="0.3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  <c r="AQ96" s="80"/>
    </row>
    <row r="97" spans="1:43" x14ac:dyDescent="0.3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</row>
    <row r="98" spans="1:43" x14ac:dyDescent="0.3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</row>
    <row r="99" spans="1:43" x14ac:dyDescent="0.3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  <c r="AQ99" s="80"/>
    </row>
    <row r="100" spans="1:43" x14ac:dyDescent="0.3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  <c r="AQ100" s="80"/>
    </row>
    <row r="101" spans="1:43" x14ac:dyDescent="0.3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</row>
    <row r="102" spans="1:43" x14ac:dyDescent="0.3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</row>
    <row r="103" spans="1:43" x14ac:dyDescent="0.3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</row>
    <row r="104" spans="1:43" x14ac:dyDescent="0.3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</row>
    <row r="105" spans="1:43" x14ac:dyDescent="0.3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</row>
    <row r="106" spans="1:43" x14ac:dyDescent="0.3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</row>
    <row r="107" spans="1:43" x14ac:dyDescent="0.3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</row>
    <row r="108" spans="1:43" x14ac:dyDescent="0.3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</row>
    <row r="109" spans="1:43" x14ac:dyDescent="0.3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</row>
    <row r="110" spans="1:43" x14ac:dyDescent="0.3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</row>
    <row r="111" spans="1:43" x14ac:dyDescent="0.3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</row>
    <row r="112" spans="1:43" x14ac:dyDescent="0.3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</row>
    <row r="113" spans="1:43" x14ac:dyDescent="0.3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</row>
    <row r="114" spans="1:43" ht="15" thickBot="1" x14ac:dyDescent="0.35">
      <c r="A114" s="79" t="s">
        <v>31</v>
      </c>
      <c r="B114" s="79" t="s">
        <v>32</v>
      </c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</row>
    <row r="115" spans="1:43" x14ac:dyDescent="0.3">
      <c r="A115" s="123" t="s">
        <v>1</v>
      </c>
      <c r="B115" s="124"/>
      <c r="C115" s="124"/>
      <c r="D115" s="124"/>
      <c r="E115" s="124"/>
      <c r="F115" s="125"/>
      <c r="G115" s="80"/>
      <c r="H115" s="123" t="s">
        <v>2</v>
      </c>
      <c r="I115" s="124"/>
      <c r="J115" s="124"/>
      <c r="K115" s="124"/>
      <c r="L115" s="124"/>
      <c r="M115" s="125"/>
      <c r="N115" s="80"/>
      <c r="O115" s="81" t="s">
        <v>3</v>
      </c>
      <c r="P115" s="82"/>
      <c r="Q115" s="82"/>
      <c r="R115" s="82"/>
      <c r="S115" s="82"/>
      <c r="T115" s="83"/>
      <c r="U115" s="85" t="s">
        <v>12</v>
      </c>
      <c r="V115" s="85"/>
      <c r="W115" s="85"/>
      <c r="X115" s="85"/>
      <c r="Y115" s="85"/>
      <c r="Z115" s="85"/>
      <c r="AA115" s="86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  <c r="AQ115" s="80"/>
    </row>
    <row r="116" spans="1:43" x14ac:dyDescent="0.3">
      <c r="A116" s="87" t="s">
        <v>11</v>
      </c>
      <c r="B116" s="88"/>
      <c r="C116" s="89" t="s">
        <v>12</v>
      </c>
      <c r="D116" s="88"/>
      <c r="E116" s="89"/>
      <c r="F116" s="90"/>
      <c r="G116" s="80"/>
      <c r="H116" s="87" t="s">
        <v>11</v>
      </c>
      <c r="I116" s="88"/>
      <c r="J116" s="89" t="s">
        <v>12</v>
      </c>
      <c r="K116" s="88"/>
      <c r="L116" s="89"/>
      <c r="M116" s="90"/>
      <c r="N116" s="80"/>
      <c r="O116" s="91" t="s">
        <v>4</v>
      </c>
      <c r="P116" s="92" t="s">
        <v>0</v>
      </c>
      <c r="Q116" s="92" t="s">
        <v>7</v>
      </c>
      <c r="R116" s="93" t="s">
        <v>8</v>
      </c>
      <c r="S116" s="94" t="s">
        <v>9</v>
      </c>
      <c r="T116" s="97" t="s">
        <v>10</v>
      </c>
      <c r="U116" s="115" t="s">
        <v>4</v>
      </c>
      <c r="V116" s="97" t="s">
        <v>0</v>
      </c>
      <c r="W116" s="97" t="s">
        <v>7</v>
      </c>
      <c r="X116" s="98" t="s">
        <v>8</v>
      </c>
      <c r="Y116" s="97" t="s">
        <v>9</v>
      </c>
      <c r="Z116" s="98" t="s">
        <v>10</v>
      </c>
      <c r="AA116" s="95" t="s">
        <v>18</v>
      </c>
      <c r="AB116" s="80"/>
      <c r="AC116" s="80" t="s">
        <v>15</v>
      </c>
      <c r="AD116" s="80">
        <f>SQRT(29)</f>
        <v>5.3851648071345037</v>
      </c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</row>
    <row r="117" spans="1:43" ht="15" thickBot="1" x14ac:dyDescent="0.35">
      <c r="A117" s="87">
        <v>155</v>
      </c>
      <c r="B117" s="88">
        <v>9.2999999999999999E-2</v>
      </c>
      <c r="C117" s="89">
        <v>155</v>
      </c>
      <c r="D117" s="88">
        <v>9.2999999999999999E-2</v>
      </c>
      <c r="E117" s="89"/>
      <c r="F117" s="90"/>
      <c r="G117" s="80"/>
      <c r="H117" s="87"/>
      <c r="I117" s="100"/>
      <c r="J117" s="87"/>
      <c r="K117" s="100"/>
      <c r="L117" s="89"/>
      <c r="M117" s="90"/>
      <c r="N117" s="80"/>
      <c r="O117" s="101">
        <v>1.141</v>
      </c>
      <c r="P117" s="94">
        <v>168</v>
      </c>
      <c r="Q117" s="88">
        <v>155</v>
      </c>
      <c r="R117" s="89">
        <v>146</v>
      </c>
      <c r="S117" s="94">
        <f>(P117-C117)/C117</f>
        <v>8.387096774193549E-2</v>
      </c>
      <c r="T117" s="104">
        <f>(P117-Q117)/Q117</f>
        <v>8.387096774193549E-2</v>
      </c>
      <c r="U117" s="88">
        <v>1.141</v>
      </c>
      <c r="V117" s="94">
        <v>168</v>
      </c>
      <c r="W117" s="94">
        <v>155</v>
      </c>
      <c r="X117" s="89">
        <v>146</v>
      </c>
      <c r="Y117" s="94">
        <v>8.387096774193549E-2</v>
      </c>
      <c r="Z117" s="100">
        <v>8.387096774193549E-2</v>
      </c>
      <c r="AA117" s="95">
        <f>(V117-X117)/X117</f>
        <v>0.15068493150684931</v>
      </c>
      <c r="AB117" s="80"/>
      <c r="AC117" s="80"/>
      <c r="AD117" s="80"/>
      <c r="AE117" s="80" t="s">
        <v>16</v>
      </c>
      <c r="AF117" s="80" t="s">
        <v>7</v>
      </c>
      <c r="AG117" s="80" t="s">
        <v>8</v>
      </c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</row>
    <row r="118" spans="1:43" x14ac:dyDescent="0.3">
      <c r="A118" s="102">
        <v>179</v>
      </c>
      <c r="B118" s="103">
        <v>6.2E-2</v>
      </c>
      <c r="C118" s="93">
        <v>179</v>
      </c>
      <c r="D118" s="103">
        <v>6.2E-2</v>
      </c>
      <c r="E118" s="93"/>
      <c r="F118" s="104"/>
      <c r="G118" s="80"/>
      <c r="H118" s="102"/>
      <c r="I118" s="80"/>
      <c r="J118" s="102"/>
      <c r="K118" s="80"/>
      <c r="L118" s="93"/>
      <c r="M118" s="104"/>
      <c r="N118" s="80"/>
      <c r="O118" s="91">
        <v>1.4060000000000001</v>
      </c>
      <c r="P118" s="92">
        <v>186</v>
      </c>
      <c r="Q118" s="103">
        <v>163</v>
      </c>
      <c r="R118" s="93">
        <v>156</v>
      </c>
      <c r="S118" s="92">
        <f t="shared" ref="S118:S146" si="26">(P118-C118)/C118</f>
        <v>3.9106145251396648E-2</v>
      </c>
      <c r="T118" s="104">
        <f t="shared" ref="T118:T146" si="27">(P118-Q118)/Q118</f>
        <v>0.1411042944785276</v>
      </c>
      <c r="U118" s="103">
        <v>1.4060000000000001</v>
      </c>
      <c r="V118" s="92">
        <v>186</v>
      </c>
      <c r="W118" s="92">
        <v>163</v>
      </c>
      <c r="X118" s="93">
        <v>156</v>
      </c>
      <c r="Y118" s="92">
        <v>3.9106145251396648E-2</v>
      </c>
      <c r="Z118" s="80">
        <v>0.1411042944785276</v>
      </c>
      <c r="AA118" s="105">
        <f t="shared" ref="AA118:AA126" si="28">(V118-X118)/X118</f>
        <v>0.19230769230769232</v>
      </c>
      <c r="AB118" s="80"/>
      <c r="AC118" s="84">
        <v>0</v>
      </c>
      <c r="AD118" s="85">
        <f t="shared" ref="AD118:AD123" si="29">AC118+0.1</f>
        <v>0.1</v>
      </c>
      <c r="AE118" s="84">
        <f>COUNTIFS($Y$117:$Y$146,"&lt;"&amp;AD118,$Y$117:$Y$146,"&gt;="&amp;AC118)/30</f>
        <v>0.56666666666666665</v>
      </c>
      <c r="AF118" s="85">
        <f>COUNTIFS($Z$117:$Z$146,"&lt;"&amp;AD118,$Z$117:$Z$146,"&gt;="&amp;AC118)/30</f>
        <v>0.16666666666666666</v>
      </c>
      <c r="AG118" s="86">
        <f>COUNTIFS($AA$117:$AA$146,"&lt;"&amp;AD118,$AA$117:$AA$146,"&gt;="&amp;AC118)/30</f>
        <v>0</v>
      </c>
      <c r="AH118" s="86" t="str">
        <f>_xlfn.CONCAT(TEXT(AC118,"0.00"),"-",TEXT(AD118,"0.00"))</f>
        <v>0.00-0.10</v>
      </c>
      <c r="AI118" s="80"/>
      <c r="AJ118" s="80"/>
      <c r="AK118" s="80"/>
      <c r="AL118" s="80"/>
      <c r="AM118" s="80"/>
      <c r="AN118" s="80"/>
      <c r="AO118" s="80"/>
      <c r="AP118" s="80"/>
      <c r="AQ118" s="80"/>
    </row>
    <row r="119" spans="1:43" x14ac:dyDescent="0.3">
      <c r="A119" s="102">
        <v>180</v>
      </c>
      <c r="B119" s="103">
        <v>0.156</v>
      </c>
      <c r="C119" s="93">
        <v>180</v>
      </c>
      <c r="D119" s="103">
        <v>0.156</v>
      </c>
      <c r="E119" s="93"/>
      <c r="F119" s="104"/>
      <c r="G119" s="80"/>
      <c r="H119" s="102"/>
      <c r="I119" s="80"/>
      <c r="J119" s="102"/>
      <c r="K119" s="80"/>
      <c r="L119" s="93"/>
      <c r="M119" s="104"/>
      <c r="N119" s="80"/>
      <c r="O119" s="91">
        <v>1.5470000000000002</v>
      </c>
      <c r="P119" s="92">
        <v>184</v>
      </c>
      <c r="Q119" s="103">
        <v>167</v>
      </c>
      <c r="R119" s="93">
        <v>136</v>
      </c>
      <c r="S119" s="92">
        <f t="shared" si="26"/>
        <v>2.2222222222222223E-2</v>
      </c>
      <c r="T119" s="104">
        <f t="shared" si="27"/>
        <v>0.10179640718562874</v>
      </c>
      <c r="U119" s="103">
        <v>1.5470000000000002</v>
      </c>
      <c r="V119" s="92">
        <v>184</v>
      </c>
      <c r="W119" s="92">
        <v>167</v>
      </c>
      <c r="X119" s="93">
        <v>136</v>
      </c>
      <c r="Y119" s="92">
        <v>2.2222222222222223E-2</v>
      </c>
      <c r="Z119" s="80">
        <v>0.10179640718562874</v>
      </c>
      <c r="AA119" s="105">
        <f t="shared" si="28"/>
        <v>0.35294117647058826</v>
      </c>
      <c r="AB119" s="80"/>
      <c r="AC119" s="102">
        <f t="shared" ref="AC119:AC124" si="30">AD118</f>
        <v>0.1</v>
      </c>
      <c r="AD119" s="80">
        <f t="shared" si="29"/>
        <v>0.2</v>
      </c>
      <c r="AE119" s="102">
        <f t="shared" ref="AE119:AE124" si="31">COUNTIFS($Y$4:$Y$33,"&lt;"&amp;AD119,$Y$4:$Y$33,"&gt;="&amp;AC119)/$AE$12</f>
        <v>0.32142857142857145</v>
      </c>
      <c r="AF119" s="80">
        <f t="shared" ref="AF119:AF124" si="32">COUNTIFS($Z$4:$Z$33,"&lt;"&amp;AD119,$Z$4:$Z$33,"&gt;="&amp;AC119)/$AE$12</f>
        <v>0</v>
      </c>
      <c r="AG119" s="104">
        <f t="shared" ref="AG119:AG124" si="33">COUNTIFS($AA$4:$AA$33,"&lt;"&amp;AD119,$AA$4:$AA$33,"&gt;="&amp;AC119)/$AE$12</f>
        <v>0</v>
      </c>
      <c r="AH119" s="104" t="str">
        <f t="shared" ref="AH119:AH124" si="34">_xlfn.CONCAT(TEXT(AC119,"0.00"),"-",TEXT(AD119,"0.00"))</f>
        <v>0.10-0.20</v>
      </c>
      <c r="AI119" s="80"/>
      <c r="AJ119" s="80"/>
      <c r="AK119" s="80"/>
      <c r="AL119" s="80"/>
      <c r="AM119" s="80"/>
      <c r="AN119" s="80"/>
      <c r="AO119" s="80"/>
      <c r="AP119" s="80"/>
      <c r="AQ119" s="80"/>
    </row>
    <row r="120" spans="1:43" x14ac:dyDescent="0.3">
      <c r="A120" s="102">
        <v>164</v>
      </c>
      <c r="B120" s="103">
        <v>6.2E-2</v>
      </c>
      <c r="C120" s="93">
        <v>164</v>
      </c>
      <c r="D120" s="103">
        <v>6.2E-2</v>
      </c>
      <c r="E120" s="93"/>
      <c r="F120" s="104"/>
      <c r="G120" s="80"/>
      <c r="H120" s="102"/>
      <c r="I120" s="80"/>
      <c r="J120" s="102"/>
      <c r="K120" s="80"/>
      <c r="L120" s="93"/>
      <c r="M120" s="104"/>
      <c r="N120" s="80"/>
      <c r="O120" s="91">
        <v>1.734</v>
      </c>
      <c r="P120" s="92">
        <v>173</v>
      </c>
      <c r="Q120" s="103">
        <v>152</v>
      </c>
      <c r="R120" s="93">
        <v>146</v>
      </c>
      <c r="S120" s="92">
        <f t="shared" si="26"/>
        <v>5.4878048780487805E-2</v>
      </c>
      <c r="T120" s="104">
        <f t="shared" si="27"/>
        <v>0.13815789473684212</v>
      </c>
      <c r="U120" s="103">
        <v>1.734</v>
      </c>
      <c r="V120" s="92">
        <v>173</v>
      </c>
      <c r="W120" s="92">
        <v>152</v>
      </c>
      <c r="X120" s="93">
        <v>146</v>
      </c>
      <c r="Y120" s="92">
        <v>5.4878048780487805E-2</v>
      </c>
      <c r="Z120" s="80">
        <v>0.13815789473684212</v>
      </c>
      <c r="AA120" s="105">
        <f t="shared" si="28"/>
        <v>0.18493150684931506</v>
      </c>
      <c r="AB120" s="80"/>
      <c r="AC120" s="102">
        <f t="shared" si="30"/>
        <v>0.2</v>
      </c>
      <c r="AD120" s="80">
        <f t="shared" si="29"/>
        <v>0.30000000000000004</v>
      </c>
      <c r="AE120" s="102">
        <f t="shared" si="31"/>
        <v>0.5</v>
      </c>
      <c r="AF120" s="80">
        <f t="shared" si="32"/>
        <v>0.2857142857142857</v>
      </c>
      <c r="AG120" s="104">
        <f t="shared" si="33"/>
        <v>0</v>
      </c>
      <c r="AH120" s="104" t="str">
        <f t="shared" si="34"/>
        <v>0.20-0.30</v>
      </c>
      <c r="AI120" s="80"/>
      <c r="AJ120" s="80"/>
      <c r="AK120" s="80"/>
      <c r="AL120" s="80"/>
      <c r="AM120" s="80"/>
      <c r="AN120" s="80"/>
      <c r="AO120" s="80"/>
      <c r="AP120" s="80"/>
      <c r="AQ120" s="80"/>
    </row>
    <row r="121" spans="1:43" x14ac:dyDescent="0.3">
      <c r="A121" s="102">
        <v>182</v>
      </c>
      <c r="B121" s="103">
        <v>4.6999999999999986E-2</v>
      </c>
      <c r="C121" s="93">
        <v>182</v>
      </c>
      <c r="D121" s="103">
        <v>4.6999999999999986E-2</v>
      </c>
      <c r="E121" s="93"/>
      <c r="F121" s="104"/>
      <c r="G121" s="80"/>
      <c r="H121" s="102"/>
      <c r="I121" s="80"/>
      <c r="J121" s="102"/>
      <c r="K121" s="80"/>
      <c r="L121" s="93"/>
      <c r="M121" s="104"/>
      <c r="N121" s="80"/>
      <c r="O121" s="91">
        <v>1.7809999999999997</v>
      </c>
      <c r="P121" s="92">
        <v>224</v>
      </c>
      <c r="Q121" s="103">
        <v>172</v>
      </c>
      <c r="R121" s="93">
        <v>156</v>
      </c>
      <c r="S121" s="92">
        <f t="shared" si="26"/>
        <v>0.23076923076923078</v>
      </c>
      <c r="T121" s="104">
        <f t="shared" si="27"/>
        <v>0.30232558139534882</v>
      </c>
      <c r="U121" s="103">
        <v>1.7809999999999997</v>
      </c>
      <c r="V121" s="92">
        <v>224</v>
      </c>
      <c r="W121" s="92">
        <v>172</v>
      </c>
      <c r="X121" s="93">
        <v>156</v>
      </c>
      <c r="Y121" s="92">
        <v>0.23076923076923078</v>
      </c>
      <c r="Z121" s="80">
        <v>0.30232558139534882</v>
      </c>
      <c r="AA121" s="105">
        <f t="shared" si="28"/>
        <v>0.4358974358974359</v>
      </c>
      <c r="AB121" s="80"/>
      <c r="AC121" s="102">
        <f t="shared" si="30"/>
        <v>0.30000000000000004</v>
      </c>
      <c r="AD121" s="80">
        <f t="shared" si="29"/>
        <v>0.4</v>
      </c>
      <c r="AE121" s="102">
        <f t="shared" si="31"/>
        <v>0.10714285714285714</v>
      </c>
      <c r="AF121" s="80">
        <f t="shared" si="32"/>
        <v>0.39285714285714285</v>
      </c>
      <c r="AG121" s="104">
        <f t="shared" si="33"/>
        <v>0.10714285714285714</v>
      </c>
      <c r="AH121" s="104" t="str">
        <f t="shared" si="34"/>
        <v>0.30-0.40</v>
      </c>
      <c r="AI121" s="80"/>
      <c r="AJ121" s="80">
        <f>AVERAGE(Y117:Y146)</f>
        <v>0.11027205193232725</v>
      </c>
      <c r="AK121" s="80">
        <f>AVERAGE(Z117:Z146)</f>
        <v>0.20673585019658247</v>
      </c>
      <c r="AL121" s="80">
        <f>AVERAGE(AA117:AA146)</f>
        <v>0.35185129036196233</v>
      </c>
      <c r="AM121" s="80"/>
      <c r="AN121" s="80"/>
      <c r="AO121" s="80"/>
      <c r="AP121" s="80"/>
      <c r="AQ121" s="80"/>
    </row>
    <row r="122" spans="1:43" x14ac:dyDescent="0.3">
      <c r="A122" s="102">
        <v>174</v>
      </c>
      <c r="B122" s="103">
        <v>6.2E-2</v>
      </c>
      <c r="C122" s="93">
        <v>174</v>
      </c>
      <c r="D122" s="103">
        <v>6.2E-2</v>
      </c>
      <c r="E122" s="93"/>
      <c r="F122" s="104"/>
      <c r="G122" s="80"/>
      <c r="H122" s="102"/>
      <c r="I122" s="80"/>
      <c r="J122" s="102"/>
      <c r="K122" s="80"/>
      <c r="L122" s="93"/>
      <c r="M122" s="104"/>
      <c r="N122" s="80"/>
      <c r="O122" s="91">
        <v>1.657</v>
      </c>
      <c r="P122" s="92">
        <v>195</v>
      </c>
      <c r="Q122" s="103">
        <v>154</v>
      </c>
      <c r="R122" s="93">
        <v>141</v>
      </c>
      <c r="S122" s="92">
        <f t="shared" si="26"/>
        <v>0.1206896551724138</v>
      </c>
      <c r="T122" s="104">
        <f t="shared" si="27"/>
        <v>0.26623376623376621</v>
      </c>
      <c r="U122" s="103">
        <v>1.657</v>
      </c>
      <c r="V122" s="92">
        <v>195</v>
      </c>
      <c r="W122" s="92">
        <v>154</v>
      </c>
      <c r="X122" s="93">
        <v>141</v>
      </c>
      <c r="Y122" s="92">
        <v>0.1206896551724138</v>
      </c>
      <c r="Z122" s="80">
        <v>0.26623376623376621</v>
      </c>
      <c r="AA122" s="105">
        <f t="shared" si="28"/>
        <v>0.38297872340425532</v>
      </c>
      <c r="AB122" s="80"/>
      <c r="AC122" s="102">
        <f t="shared" si="30"/>
        <v>0.4</v>
      </c>
      <c r="AD122" s="80">
        <f t="shared" si="29"/>
        <v>0.5</v>
      </c>
      <c r="AE122" s="102">
        <f t="shared" si="31"/>
        <v>7.1428571428571425E-2</v>
      </c>
      <c r="AF122" s="80">
        <f t="shared" si="32"/>
        <v>0.21428571428571427</v>
      </c>
      <c r="AG122" s="104">
        <f t="shared" si="33"/>
        <v>0.39285714285714285</v>
      </c>
      <c r="AH122" s="104" t="str">
        <f t="shared" si="34"/>
        <v>0.40-0.50</v>
      </c>
      <c r="AI122" s="80"/>
      <c r="AJ122" s="80"/>
      <c r="AK122" s="80"/>
      <c r="AL122" s="80"/>
      <c r="AM122" s="80"/>
      <c r="AN122" s="80"/>
      <c r="AO122" s="80"/>
      <c r="AP122" s="80"/>
      <c r="AQ122" s="80"/>
    </row>
    <row r="123" spans="1:43" x14ac:dyDescent="0.3">
      <c r="A123" s="102">
        <v>177</v>
      </c>
      <c r="B123" s="103">
        <v>6.2000000000000055E-2</v>
      </c>
      <c r="C123" s="93">
        <v>177</v>
      </c>
      <c r="D123" s="103">
        <v>6.2000000000000055E-2</v>
      </c>
      <c r="E123" s="93"/>
      <c r="F123" s="104"/>
      <c r="G123" s="80"/>
      <c r="H123" s="102"/>
      <c r="I123" s="80"/>
      <c r="J123" s="102"/>
      <c r="K123" s="80"/>
      <c r="L123" s="93"/>
      <c r="M123" s="104"/>
      <c r="N123" s="80"/>
      <c r="O123" s="91">
        <v>1.6709999999999994</v>
      </c>
      <c r="P123" s="92">
        <v>198</v>
      </c>
      <c r="Q123" s="103">
        <v>170</v>
      </c>
      <c r="R123" s="93">
        <v>136</v>
      </c>
      <c r="S123" s="92">
        <f t="shared" si="26"/>
        <v>0.11864406779661017</v>
      </c>
      <c r="T123" s="104">
        <f t="shared" si="27"/>
        <v>0.16470588235294117</v>
      </c>
      <c r="U123" s="103">
        <v>1.6709999999999994</v>
      </c>
      <c r="V123" s="92">
        <v>198</v>
      </c>
      <c r="W123" s="92">
        <v>170</v>
      </c>
      <c r="X123" s="93">
        <v>136</v>
      </c>
      <c r="Y123" s="92">
        <v>0.11864406779661017</v>
      </c>
      <c r="Z123" s="80">
        <v>0.16470588235294117</v>
      </c>
      <c r="AA123" s="105">
        <f t="shared" si="28"/>
        <v>0.45588235294117646</v>
      </c>
      <c r="AB123" s="80"/>
      <c r="AC123" s="102">
        <f t="shared" si="30"/>
        <v>0.5</v>
      </c>
      <c r="AD123" s="80">
        <f t="shared" si="29"/>
        <v>0.6</v>
      </c>
      <c r="AE123" s="102">
        <f t="shared" si="31"/>
        <v>0</v>
      </c>
      <c r="AF123" s="80">
        <f t="shared" si="32"/>
        <v>0.10714285714285714</v>
      </c>
      <c r="AG123" s="104">
        <f t="shared" si="33"/>
        <v>0.35714285714285715</v>
      </c>
      <c r="AH123" s="104" t="str">
        <f t="shared" si="34"/>
        <v>0.50-0.60</v>
      </c>
      <c r="AI123" s="80"/>
      <c r="AJ123" s="80"/>
      <c r="AK123" s="80"/>
      <c r="AL123" s="80"/>
      <c r="AM123" s="80"/>
      <c r="AN123" s="80"/>
      <c r="AO123" s="80"/>
      <c r="AP123" s="80"/>
      <c r="AQ123" s="80"/>
    </row>
    <row r="124" spans="1:43" ht="15" thickBot="1" x14ac:dyDescent="0.35">
      <c r="A124" s="102">
        <v>187</v>
      </c>
      <c r="B124" s="103">
        <v>0.15599999999999992</v>
      </c>
      <c r="C124" s="93">
        <v>187</v>
      </c>
      <c r="D124" s="103">
        <v>0.15599999999999992</v>
      </c>
      <c r="E124" s="93"/>
      <c r="F124" s="104"/>
      <c r="G124" s="80"/>
      <c r="H124" s="102"/>
      <c r="I124" s="80"/>
      <c r="J124" s="102"/>
      <c r="K124" s="80"/>
      <c r="L124" s="93"/>
      <c r="M124" s="104"/>
      <c r="N124" s="80"/>
      <c r="O124" s="91">
        <v>1.7040000000000006</v>
      </c>
      <c r="P124" s="92">
        <v>219</v>
      </c>
      <c r="Q124" s="103">
        <v>163</v>
      </c>
      <c r="R124" s="93">
        <v>151</v>
      </c>
      <c r="S124" s="92">
        <f t="shared" si="26"/>
        <v>0.17112299465240641</v>
      </c>
      <c r="T124" s="104">
        <f t="shared" si="27"/>
        <v>0.34355828220858897</v>
      </c>
      <c r="U124" s="103">
        <v>1.7040000000000006</v>
      </c>
      <c r="V124" s="92">
        <v>219</v>
      </c>
      <c r="W124" s="92">
        <v>163</v>
      </c>
      <c r="X124" s="93">
        <v>151</v>
      </c>
      <c r="Y124" s="92">
        <v>0.17112299465240641</v>
      </c>
      <c r="Z124" s="80">
        <v>0.34355828220858897</v>
      </c>
      <c r="AA124" s="105">
        <f t="shared" si="28"/>
        <v>0.45033112582781459</v>
      </c>
      <c r="AB124" s="80"/>
      <c r="AC124" s="106">
        <f t="shared" si="30"/>
        <v>0.6</v>
      </c>
      <c r="AD124" s="107">
        <f>1</f>
        <v>1</v>
      </c>
      <c r="AE124" s="106">
        <f t="shared" si="31"/>
        <v>0</v>
      </c>
      <c r="AF124" s="107">
        <f t="shared" si="32"/>
        <v>0</v>
      </c>
      <c r="AG124" s="108">
        <f t="shared" si="33"/>
        <v>0.14285714285714285</v>
      </c>
      <c r="AH124" s="108" t="str">
        <f t="shared" si="34"/>
        <v>0.60-1.00</v>
      </c>
      <c r="AI124" s="80"/>
      <c r="AJ124" s="80"/>
      <c r="AK124" s="80"/>
      <c r="AL124" s="80"/>
      <c r="AM124" s="80"/>
      <c r="AN124" s="80"/>
      <c r="AO124" s="80"/>
      <c r="AP124" s="80"/>
      <c r="AQ124" s="80"/>
    </row>
    <row r="125" spans="1:43" x14ac:dyDescent="0.3">
      <c r="A125" s="102">
        <v>165</v>
      </c>
      <c r="B125" s="103">
        <v>0.125</v>
      </c>
      <c r="C125" s="93">
        <v>165</v>
      </c>
      <c r="D125" s="103">
        <v>0.125</v>
      </c>
      <c r="E125" s="93"/>
      <c r="F125" s="104"/>
      <c r="G125" s="80"/>
      <c r="H125" s="102"/>
      <c r="I125" s="80"/>
      <c r="J125" s="102"/>
      <c r="K125" s="80"/>
      <c r="L125" s="93"/>
      <c r="M125" s="104"/>
      <c r="N125" s="80"/>
      <c r="O125" s="91">
        <v>1.7029999999999994</v>
      </c>
      <c r="P125" s="92">
        <v>187</v>
      </c>
      <c r="Q125" s="103">
        <v>145</v>
      </c>
      <c r="R125" s="93">
        <v>138</v>
      </c>
      <c r="S125" s="92">
        <f t="shared" si="26"/>
        <v>0.13333333333333333</v>
      </c>
      <c r="T125" s="104">
        <f t="shared" si="27"/>
        <v>0.28965517241379313</v>
      </c>
      <c r="U125" s="103">
        <v>1.7029999999999994</v>
      </c>
      <c r="V125" s="92">
        <v>187</v>
      </c>
      <c r="W125" s="92">
        <v>145</v>
      </c>
      <c r="X125" s="93">
        <v>138</v>
      </c>
      <c r="Y125" s="92">
        <v>0.13333333333333333</v>
      </c>
      <c r="Z125" s="80">
        <v>0.28965517241379313</v>
      </c>
      <c r="AA125" s="105">
        <f t="shared" si="28"/>
        <v>0.35507246376811596</v>
      </c>
      <c r="AB125" s="80"/>
      <c r="AC125" s="80"/>
      <c r="AD125" s="80"/>
      <c r="AE125" s="80">
        <v>30</v>
      </c>
      <c r="AF125" s="80">
        <v>30</v>
      </c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</row>
    <row r="126" spans="1:43" x14ac:dyDescent="0.3">
      <c r="A126" s="102">
        <v>170</v>
      </c>
      <c r="B126" s="103">
        <v>0.125</v>
      </c>
      <c r="C126" s="93">
        <v>170</v>
      </c>
      <c r="D126" s="103">
        <v>0.125</v>
      </c>
      <c r="E126" s="93"/>
      <c r="F126" s="104"/>
      <c r="G126" s="80"/>
      <c r="H126" s="102"/>
      <c r="I126" s="80"/>
      <c r="J126" s="102"/>
      <c r="K126" s="80"/>
      <c r="L126" s="93"/>
      <c r="M126" s="104"/>
      <c r="N126" s="80"/>
      <c r="O126" s="91">
        <v>1.625</v>
      </c>
      <c r="P126" s="92">
        <v>188</v>
      </c>
      <c r="Q126" s="103">
        <v>148</v>
      </c>
      <c r="R126" s="93">
        <v>141</v>
      </c>
      <c r="S126" s="92">
        <f t="shared" si="26"/>
        <v>0.10588235294117647</v>
      </c>
      <c r="T126" s="104">
        <f t="shared" si="27"/>
        <v>0.27027027027027029</v>
      </c>
      <c r="U126" s="103">
        <v>1.625</v>
      </c>
      <c r="V126" s="92">
        <v>188</v>
      </c>
      <c r="W126" s="92">
        <v>148</v>
      </c>
      <c r="X126" s="93">
        <v>141</v>
      </c>
      <c r="Y126" s="92">
        <v>0.10588235294117647</v>
      </c>
      <c r="Z126" s="80">
        <v>0.27027027027027029</v>
      </c>
      <c r="AA126" s="105">
        <f t="shared" si="28"/>
        <v>0.33333333333333331</v>
      </c>
      <c r="AB126" s="80"/>
      <c r="AC126" s="80"/>
      <c r="AD126" s="80"/>
      <c r="AE126" s="80">
        <f>SUM(AE118:AE124)</f>
        <v>1.5666666666666667</v>
      </c>
      <c r="AF126" s="80">
        <f>SUM(AF118:AF124)</f>
        <v>1.1666666666666665</v>
      </c>
      <c r="AG126" s="80">
        <f>SUM(AG118:AG124)</f>
        <v>1</v>
      </c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</row>
    <row r="127" spans="1:43" x14ac:dyDescent="0.3">
      <c r="A127" s="102">
        <v>189</v>
      </c>
      <c r="B127" s="103">
        <v>9.4000000000000083E-2</v>
      </c>
      <c r="C127" s="93">
        <v>189</v>
      </c>
      <c r="D127" s="103">
        <v>9.4000000000000083E-2</v>
      </c>
      <c r="E127" s="93"/>
      <c r="F127" s="104"/>
      <c r="G127" s="80"/>
      <c r="H127" s="102"/>
      <c r="I127" s="80"/>
      <c r="J127" s="102"/>
      <c r="K127" s="80"/>
      <c r="L127" s="93"/>
      <c r="M127" s="104"/>
      <c r="N127" s="80"/>
      <c r="O127" s="91">
        <v>1.6719999999999988</v>
      </c>
      <c r="P127" s="92">
        <v>190</v>
      </c>
      <c r="Q127" s="103">
        <v>177</v>
      </c>
      <c r="R127" s="93">
        <v>164</v>
      </c>
      <c r="S127" s="92">
        <f t="shared" si="26"/>
        <v>5.2910052910052907E-3</v>
      </c>
      <c r="T127" s="104">
        <f t="shared" si="27"/>
        <v>7.3446327683615822E-2</v>
      </c>
      <c r="U127" s="103">
        <v>1.6719999999999988</v>
      </c>
      <c r="V127" s="92">
        <v>190</v>
      </c>
      <c r="W127" s="92">
        <v>177</v>
      </c>
      <c r="X127" s="93">
        <v>164</v>
      </c>
      <c r="Y127" s="92">
        <v>5.2910052910052907E-3</v>
      </c>
      <c r="Z127" s="80">
        <v>7.3446327683615822E-2</v>
      </c>
      <c r="AA127" s="105">
        <f>(V127-X127)/X127</f>
        <v>0.15853658536585366</v>
      </c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</row>
    <row r="128" spans="1:43" x14ac:dyDescent="0.3">
      <c r="A128" s="102">
        <v>169</v>
      </c>
      <c r="B128" s="103">
        <v>0.18700000000000006</v>
      </c>
      <c r="C128" s="93">
        <v>169</v>
      </c>
      <c r="D128" s="103">
        <v>0.18700000000000006</v>
      </c>
      <c r="E128" s="93"/>
      <c r="F128" s="104"/>
      <c r="G128" s="80"/>
      <c r="H128" s="102"/>
      <c r="I128" s="80"/>
      <c r="J128" s="102"/>
      <c r="K128" s="80"/>
      <c r="L128" s="93"/>
      <c r="M128" s="104"/>
      <c r="N128" s="80"/>
      <c r="O128" s="91">
        <v>1.6710000000000029</v>
      </c>
      <c r="P128" s="92">
        <v>208</v>
      </c>
      <c r="Q128" s="103">
        <v>156</v>
      </c>
      <c r="R128" s="93">
        <v>142</v>
      </c>
      <c r="S128" s="92">
        <f t="shared" si="26"/>
        <v>0.23076923076923078</v>
      </c>
      <c r="T128" s="104">
        <f t="shared" si="27"/>
        <v>0.33333333333333331</v>
      </c>
      <c r="U128" s="103">
        <v>1.6710000000000029</v>
      </c>
      <c r="V128" s="80">
        <v>208</v>
      </c>
      <c r="W128" s="92">
        <v>156</v>
      </c>
      <c r="X128" s="93">
        <v>142</v>
      </c>
      <c r="Y128" s="92">
        <v>0.23076923076923078</v>
      </c>
      <c r="Z128" s="80">
        <v>0.33333333333333331</v>
      </c>
      <c r="AA128" s="105">
        <f>(V128-X128)/X128</f>
        <v>0.46478873239436619</v>
      </c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</row>
    <row r="129" spans="1:43" x14ac:dyDescent="0.3">
      <c r="A129" s="102">
        <v>173</v>
      </c>
      <c r="B129" s="103">
        <v>0.1399999999999999</v>
      </c>
      <c r="C129" s="93">
        <v>173</v>
      </c>
      <c r="D129" s="103">
        <v>0.1399999999999999</v>
      </c>
      <c r="E129" s="93"/>
      <c r="F129" s="104"/>
      <c r="G129" s="80"/>
      <c r="H129" s="102"/>
      <c r="I129" s="80"/>
      <c r="J129" s="102"/>
      <c r="K129" s="80"/>
      <c r="L129" s="93"/>
      <c r="M129" s="104"/>
      <c r="N129" s="80"/>
      <c r="O129" s="91">
        <v>1.6409999999999982</v>
      </c>
      <c r="P129" s="92">
        <v>201</v>
      </c>
      <c r="Q129" s="103">
        <v>146</v>
      </c>
      <c r="R129" s="93">
        <v>135</v>
      </c>
      <c r="S129" s="92">
        <f t="shared" si="26"/>
        <v>0.16184971098265896</v>
      </c>
      <c r="T129" s="104">
        <f t="shared" si="27"/>
        <v>0.37671232876712329</v>
      </c>
      <c r="U129" s="103">
        <v>1.6409999999999982</v>
      </c>
      <c r="V129" s="92">
        <v>201</v>
      </c>
      <c r="W129" s="92">
        <v>146</v>
      </c>
      <c r="X129" s="93">
        <v>135</v>
      </c>
      <c r="Y129" s="92">
        <v>0.16184971098265896</v>
      </c>
      <c r="Z129" s="80">
        <v>0.37671232876712329</v>
      </c>
      <c r="AA129" s="105">
        <f t="shared" ref="AA129:AA135" si="35">(V129-X129)/X129</f>
        <v>0.48888888888888887</v>
      </c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</row>
    <row r="130" spans="1:43" x14ac:dyDescent="0.3">
      <c r="A130" s="102">
        <v>173</v>
      </c>
      <c r="B130" s="103">
        <v>0.10899999999999999</v>
      </c>
      <c r="C130" s="93">
        <v>173</v>
      </c>
      <c r="D130" s="103">
        <v>0.10899999999999999</v>
      </c>
      <c r="E130" s="93"/>
      <c r="F130" s="104"/>
      <c r="G130" s="80"/>
      <c r="H130" s="102"/>
      <c r="I130" s="80"/>
      <c r="J130" s="102"/>
      <c r="K130" s="80"/>
      <c r="L130" s="93"/>
      <c r="M130" s="104"/>
      <c r="N130" s="80"/>
      <c r="O130" s="91">
        <v>1.7970000000000006</v>
      </c>
      <c r="P130" s="92">
        <v>183</v>
      </c>
      <c r="Q130" s="103">
        <v>168</v>
      </c>
      <c r="R130" s="93">
        <v>135</v>
      </c>
      <c r="S130" s="92">
        <f t="shared" si="26"/>
        <v>5.7803468208092484E-2</v>
      </c>
      <c r="T130" s="104">
        <f t="shared" si="27"/>
        <v>8.9285714285714288E-2</v>
      </c>
      <c r="U130" s="103">
        <v>1.7970000000000006</v>
      </c>
      <c r="V130" s="92">
        <v>183</v>
      </c>
      <c r="W130" s="92">
        <v>168</v>
      </c>
      <c r="X130" s="93">
        <v>135</v>
      </c>
      <c r="Y130" s="92">
        <v>5.7803468208092484E-2</v>
      </c>
      <c r="Z130" s="80">
        <v>8.9285714285714288E-2</v>
      </c>
      <c r="AA130" s="105">
        <f t="shared" si="35"/>
        <v>0.35555555555555557</v>
      </c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</row>
    <row r="131" spans="1:43" x14ac:dyDescent="0.3">
      <c r="A131" s="102">
        <v>192</v>
      </c>
      <c r="B131" s="103">
        <v>0.18700000000000006</v>
      </c>
      <c r="C131" s="93">
        <v>192</v>
      </c>
      <c r="D131" s="103">
        <v>0.18700000000000006</v>
      </c>
      <c r="E131" s="93"/>
      <c r="F131" s="104"/>
      <c r="G131" s="80"/>
      <c r="H131" s="102"/>
      <c r="I131" s="80"/>
      <c r="J131" s="102"/>
      <c r="K131" s="80"/>
      <c r="L131" s="93"/>
      <c r="M131" s="104"/>
      <c r="N131" s="80"/>
      <c r="O131" s="91">
        <v>1.7029999999999994</v>
      </c>
      <c r="P131" s="92">
        <v>229</v>
      </c>
      <c r="Q131" s="103">
        <v>171</v>
      </c>
      <c r="R131" s="93">
        <v>143</v>
      </c>
      <c r="S131" s="92">
        <f t="shared" si="26"/>
        <v>0.19270833333333334</v>
      </c>
      <c r="T131" s="104">
        <f t="shared" si="27"/>
        <v>0.33918128654970758</v>
      </c>
      <c r="U131" s="103">
        <v>1.7029999999999994</v>
      </c>
      <c r="V131" s="92">
        <v>229</v>
      </c>
      <c r="W131" s="92">
        <v>171</v>
      </c>
      <c r="X131" s="93">
        <v>143</v>
      </c>
      <c r="Y131" s="92">
        <v>0.19270833333333334</v>
      </c>
      <c r="Z131" s="80">
        <v>0.33918128654970758</v>
      </c>
      <c r="AA131" s="105">
        <f t="shared" si="35"/>
        <v>0.60139860139860135</v>
      </c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</row>
    <row r="132" spans="1:43" x14ac:dyDescent="0.3">
      <c r="A132" s="102">
        <v>183</v>
      </c>
      <c r="B132" s="103">
        <v>4.6999999999999931E-2</v>
      </c>
      <c r="C132" s="93">
        <v>183</v>
      </c>
      <c r="D132" s="103">
        <v>4.6999999999999931E-2</v>
      </c>
      <c r="E132" s="93"/>
      <c r="F132" s="104"/>
      <c r="G132" s="80"/>
      <c r="H132" s="102"/>
      <c r="I132" s="80"/>
      <c r="J132" s="102"/>
      <c r="K132" s="80"/>
      <c r="L132" s="93"/>
      <c r="M132" s="104"/>
      <c r="N132" s="80"/>
      <c r="O132" s="91">
        <v>1.6410000000000018</v>
      </c>
      <c r="P132" s="92">
        <v>193</v>
      </c>
      <c r="Q132" s="103">
        <v>170</v>
      </c>
      <c r="R132" s="93">
        <v>166</v>
      </c>
      <c r="S132" s="92">
        <f t="shared" si="26"/>
        <v>5.4644808743169397E-2</v>
      </c>
      <c r="T132" s="104">
        <f t="shared" si="27"/>
        <v>0.13529411764705881</v>
      </c>
      <c r="U132" s="103">
        <v>1.6410000000000018</v>
      </c>
      <c r="V132" s="92">
        <v>193</v>
      </c>
      <c r="W132" s="92">
        <v>170</v>
      </c>
      <c r="X132" s="93">
        <v>166</v>
      </c>
      <c r="Y132" s="92">
        <v>5.4644808743169397E-2</v>
      </c>
      <c r="Z132" s="80">
        <v>0.13529411764705881</v>
      </c>
      <c r="AA132" s="105">
        <f t="shared" si="35"/>
        <v>0.16265060240963855</v>
      </c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</row>
    <row r="133" spans="1:43" x14ac:dyDescent="0.3">
      <c r="A133" s="102">
        <v>171</v>
      </c>
      <c r="B133" s="103">
        <v>0.20300000000000007</v>
      </c>
      <c r="C133" s="93">
        <v>171</v>
      </c>
      <c r="D133" s="103">
        <v>0.20300000000000007</v>
      </c>
      <c r="E133" s="93"/>
      <c r="F133" s="104"/>
      <c r="G133" s="80"/>
      <c r="H133" s="102"/>
      <c r="I133" s="80"/>
      <c r="J133" s="102"/>
      <c r="K133" s="80"/>
      <c r="L133" s="93"/>
      <c r="M133" s="104"/>
      <c r="N133" s="80"/>
      <c r="O133" s="91">
        <v>1.6400000000000006</v>
      </c>
      <c r="P133" s="92">
        <v>211</v>
      </c>
      <c r="Q133" s="103">
        <v>147</v>
      </c>
      <c r="R133" s="93">
        <v>128</v>
      </c>
      <c r="S133" s="92">
        <f t="shared" si="26"/>
        <v>0.23391812865497075</v>
      </c>
      <c r="T133" s="104">
        <f t="shared" si="27"/>
        <v>0.43537414965986393</v>
      </c>
      <c r="U133" s="103">
        <v>1.6400000000000006</v>
      </c>
      <c r="V133" s="92">
        <v>211</v>
      </c>
      <c r="W133" s="92">
        <v>147</v>
      </c>
      <c r="X133" s="93">
        <v>128</v>
      </c>
      <c r="Y133" s="92">
        <v>0.23391812865497075</v>
      </c>
      <c r="Z133" s="80">
        <v>0.43537414965986393</v>
      </c>
      <c r="AA133" s="105">
        <f t="shared" si="35"/>
        <v>0.6484375</v>
      </c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</row>
    <row r="134" spans="1:43" x14ac:dyDescent="0.3">
      <c r="A134" s="102">
        <v>144</v>
      </c>
      <c r="B134" s="103">
        <v>6.2999999999999945E-2</v>
      </c>
      <c r="C134" s="93">
        <v>144</v>
      </c>
      <c r="D134" s="103">
        <v>6.2999999999999945E-2</v>
      </c>
      <c r="E134" s="93"/>
      <c r="F134" s="104"/>
      <c r="G134" s="80"/>
      <c r="H134" s="102"/>
      <c r="I134" s="80"/>
      <c r="J134" s="102"/>
      <c r="K134" s="80"/>
      <c r="L134" s="93"/>
      <c r="M134" s="104"/>
      <c r="N134" s="80"/>
      <c r="O134" s="91">
        <v>1.6879999999999988</v>
      </c>
      <c r="P134" s="92">
        <v>156</v>
      </c>
      <c r="Q134" s="103">
        <v>136</v>
      </c>
      <c r="R134" s="93">
        <v>128</v>
      </c>
      <c r="S134" s="92">
        <f t="shared" si="26"/>
        <v>8.3333333333333329E-2</v>
      </c>
      <c r="T134" s="104">
        <f t="shared" si="27"/>
        <v>0.14705882352941177</v>
      </c>
      <c r="U134" s="103">
        <v>1.6879999999999988</v>
      </c>
      <c r="V134" s="92">
        <v>156</v>
      </c>
      <c r="W134" s="92">
        <v>136</v>
      </c>
      <c r="X134" s="93">
        <v>128</v>
      </c>
      <c r="Y134" s="92">
        <v>8.3333333333333329E-2</v>
      </c>
      <c r="Z134" s="80">
        <v>0.14705882352941177</v>
      </c>
      <c r="AA134" s="105">
        <f t="shared" si="35"/>
        <v>0.21875</v>
      </c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</row>
    <row r="135" spans="1:43" x14ac:dyDescent="0.3">
      <c r="A135" s="102">
        <v>165</v>
      </c>
      <c r="B135" s="103">
        <v>6.3000000000000167E-2</v>
      </c>
      <c r="C135" s="93">
        <v>165</v>
      </c>
      <c r="D135" s="103">
        <v>6.3000000000000167E-2</v>
      </c>
      <c r="E135" s="93"/>
      <c r="F135" s="104"/>
      <c r="G135" s="80"/>
      <c r="H135" s="102"/>
      <c r="I135" s="80"/>
      <c r="J135" s="102"/>
      <c r="K135" s="80"/>
      <c r="L135" s="93"/>
      <c r="M135" s="104"/>
      <c r="N135" s="80"/>
      <c r="O135" s="91">
        <v>1.6089999999999982</v>
      </c>
      <c r="P135" s="92">
        <v>180</v>
      </c>
      <c r="Q135" s="103">
        <v>154</v>
      </c>
      <c r="R135" s="93">
        <v>143</v>
      </c>
      <c r="S135" s="92">
        <f t="shared" si="26"/>
        <v>9.0909090909090912E-2</v>
      </c>
      <c r="T135" s="104">
        <f t="shared" si="27"/>
        <v>0.16883116883116883</v>
      </c>
      <c r="U135" s="103">
        <v>1.6089999999999982</v>
      </c>
      <c r="V135" s="92">
        <v>180</v>
      </c>
      <c r="W135" s="92">
        <v>154</v>
      </c>
      <c r="X135" s="93">
        <v>143</v>
      </c>
      <c r="Y135" s="92">
        <v>9.0909090909090912E-2</v>
      </c>
      <c r="Z135" s="80">
        <v>0.16883116883116883</v>
      </c>
      <c r="AA135" s="105">
        <f t="shared" si="35"/>
        <v>0.25874125874125875</v>
      </c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</row>
    <row r="136" spans="1:43" x14ac:dyDescent="0.3">
      <c r="A136" s="102">
        <v>195</v>
      </c>
      <c r="B136" s="103">
        <v>0.17199999999999971</v>
      </c>
      <c r="C136" s="93">
        <v>195</v>
      </c>
      <c r="D136" s="103">
        <v>0.17199999999999971</v>
      </c>
      <c r="E136" s="93"/>
      <c r="F136" s="104"/>
      <c r="G136" s="80"/>
      <c r="H136" s="102"/>
      <c r="I136" s="80"/>
      <c r="J136" s="102"/>
      <c r="K136" s="80"/>
      <c r="L136" s="93"/>
      <c r="M136" s="104"/>
      <c r="N136" s="80"/>
      <c r="O136" s="91">
        <v>1.6720000000000041</v>
      </c>
      <c r="P136" s="92">
        <v>198</v>
      </c>
      <c r="Q136" s="103">
        <v>194</v>
      </c>
      <c r="R136" s="93">
        <v>147</v>
      </c>
      <c r="S136" s="92">
        <f t="shared" si="26"/>
        <v>1.5384615384615385E-2</v>
      </c>
      <c r="T136" s="104">
        <f t="shared" si="27"/>
        <v>2.0618556701030927E-2</v>
      </c>
      <c r="U136" s="103">
        <v>1.6720000000000041</v>
      </c>
      <c r="V136" s="92">
        <v>198</v>
      </c>
      <c r="W136" s="92">
        <v>194</v>
      </c>
      <c r="X136" s="93">
        <v>147</v>
      </c>
      <c r="Y136" s="92">
        <v>1.5384615384615385E-2</v>
      </c>
      <c r="Z136" s="80">
        <v>2.0618556701030927E-2</v>
      </c>
      <c r="AA136" s="105">
        <f>(V136-X136)/X136</f>
        <v>0.34693877551020408</v>
      </c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</row>
    <row r="137" spans="1:43" x14ac:dyDescent="0.3">
      <c r="A137" s="102">
        <v>159</v>
      </c>
      <c r="B137" s="103">
        <v>4.7000000000000153E-2</v>
      </c>
      <c r="C137" s="93">
        <v>159</v>
      </c>
      <c r="D137" s="103">
        <v>4.7000000000000153E-2</v>
      </c>
      <c r="E137" s="93"/>
      <c r="F137" s="104"/>
      <c r="G137" s="80"/>
      <c r="H137" s="102"/>
      <c r="I137" s="80"/>
      <c r="J137" s="102"/>
      <c r="K137" s="80"/>
      <c r="L137" s="93"/>
      <c r="M137" s="104"/>
      <c r="N137" s="80"/>
      <c r="O137" s="91">
        <v>1.671999999999997</v>
      </c>
      <c r="P137" s="92">
        <v>174</v>
      </c>
      <c r="Q137" s="103">
        <v>144</v>
      </c>
      <c r="R137" s="93">
        <v>133</v>
      </c>
      <c r="S137" s="92">
        <f t="shared" si="26"/>
        <v>9.4339622641509441E-2</v>
      </c>
      <c r="T137" s="104">
        <f t="shared" si="27"/>
        <v>0.20833333333333334</v>
      </c>
      <c r="U137" s="103">
        <v>1.671999999999997</v>
      </c>
      <c r="V137" s="92">
        <v>174</v>
      </c>
      <c r="W137" s="92">
        <v>144</v>
      </c>
      <c r="X137" s="93">
        <v>133</v>
      </c>
      <c r="Y137" s="92">
        <v>9.4339622641509441E-2</v>
      </c>
      <c r="Z137" s="80">
        <v>0.20833333333333334</v>
      </c>
      <c r="AA137" s="105">
        <f>(V137-X137)/X137</f>
        <v>0.30827067669172931</v>
      </c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</row>
    <row r="138" spans="1:43" x14ac:dyDescent="0.3">
      <c r="A138" s="102">
        <v>142</v>
      </c>
      <c r="B138" s="103">
        <v>7.7999999999999847E-2</v>
      </c>
      <c r="C138" s="93">
        <v>142</v>
      </c>
      <c r="D138" s="103">
        <v>7.7999999999999847E-2</v>
      </c>
      <c r="E138" s="93"/>
      <c r="F138" s="104"/>
      <c r="G138" s="80"/>
      <c r="H138" s="102"/>
      <c r="I138" s="80"/>
      <c r="J138" s="102"/>
      <c r="K138" s="80"/>
      <c r="L138" s="93"/>
      <c r="M138" s="104"/>
      <c r="N138" s="80"/>
      <c r="O138" s="91">
        <v>1.6409999999999982</v>
      </c>
      <c r="P138" s="92">
        <v>152</v>
      </c>
      <c r="Q138" s="103">
        <v>141</v>
      </c>
      <c r="R138" s="93">
        <v>120</v>
      </c>
      <c r="S138" s="92">
        <f t="shared" si="26"/>
        <v>7.0422535211267609E-2</v>
      </c>
      <c r="T138" s="104">
        <f t="shared" si="27"/>
        <v>7.8014184397163122E-2</v>
      </c>
      <c r="U138" s="103">
        <v>1.6409999999999982</v>
      </c>
      <c r="V138" s="92">
        <v>152</v>
      </c>
      <c r="W138" s="92">
        <v>141</v>
      </c>
      <c r="X138" s="93">
        <v>120</v>
      </c>
      <c r="Y138" s="92">
        <v>7.0422535211267609E-2</v>
      </c>
      <c r="Z138" s="80">
        <v>7.8014184397163122E-2</v>
      </c>
      <c r="AA138" s="105">
        <f t="shared" ref="AA138:AA143" si="36">(V138-X138)/X138</f>
        <v>0.26666666666666666</v>
      </c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</row>
    <row r="139" spans="1:43" x14ac:dyDescent="0.3">
      <c r="A139" s="102">
        <v>181</v>
      </c>
      <c r="B139" s="103">
        <v>6.3000000000000167E-2</v>
      </c>
      <c r="C139" s="93">
        <v>181</v>
      </c>
      <c r="D139" s="103">
        <v>6.3000000000000167E-2</v>
      </c>
      <c r="E139" s="93"/>
      <c r="F139" s="104"/>
      <c r="G139" s="80"/>
      <c r="H139" s="102"/>
      <c r="I139" s="80"/>
      <c r="J139" s="102"/>
      <c r="K139" s="80"/>
      <c r="L139" s="93"/>
      <c r="M139" s="104"/>
      <c r="N139" s="80"/>
      <c r="O139" s="91">
        <v>1.6870000000000047</v>
      </c>
      <c r="P139" s="92">
        <v>198</v>
      </c>
      <c r="Q139" s="103">
        <v>161</v>
      </c>
      <c r="R139" s="93">
        <v>147</v>
      </c>
      <c r="S139" s="92">
        <f t="shared" si="26"/>
        <v>9.3922651933701654E-2</v>
      </c>
      <c r="T139" s="104">
        <f t="shared" si="27"/>
        <v>0.22981366459627328</v>
      </c>
      <c r="U139" s="103">
        <v>1.6870000000000047</v>
      </c>
      <c r="V139" s="92">
        <v>198</v>
      </c>
      <c r="W139" s="92">
        <v>161</v>
      </c>
      <c r="X139" s="93">
        <v>147</v>
      </c>
      <c r="Y139" s="92">
        <v>9.3922651933701654E-2</v>
      </c>
      <c r="Z139" s="80">
        <v>0.22981366459627328</v>
      </c>
      <c r="AA139" s="105">
        <f t="shared" si="36"/>
        <v>0.34693877551020408</v>
      </c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</row>
    <row r="140" spans="1:43" x14ac:dyDescent="0.3">
      <c r="A140" s="102">
        <v>191</v>
      </c>
      <c r="B140" s="103">
        <v>0.10899999999999999</v>
      </c>
      <c r="C140" s="93">
        <v>191</v>
      </c>
      <c r="D140" s="103">
        <v>0.10899999999999999</v>
      </c>
      <c r="E140" s="93"/>
      <c r="F140" s="104"/>
      <c r="G140" s="80"/>
      <c r="H140" s="102"/>
      <c r="I140" s="80"/>
      <c r="J140" s="102"/>
      <c r="K140" s="80"/>
      <c r="L140" s="93"/>
      <c r="M140" s="104"/>
      <c r="N140" s="80"/>
      <c r="O140" s="91">
        <v>1.671999999999997</v>
      </c>
      <c r="P140" s="92">
        <v>208</v>
      </c>
      <c r="Q140" s="103">
        <v>169</v>
      </c>
      <c r="R140" s="93">
        <v>156</v>
      </c>
      <c r="S140" s="92">
        <f t="shared" si="26"/>
        <v>8.9005235602094238E-2</v>
      </c>
      <c r="T140" s="104">
        <f t="shared" si="27"/>
        <v>0.23076923076923078</v>
      </c>
      <c r="U140" s="103">
        <v>1.671999999999997</v>
      </c>
      <c r="V140" s="92">
        <v>208</v>
      </c>
      <c r="W140" s="92">
        <v>169</v>
      </c>
      <c r="X140" s="93">
        <v>156</v>
      </c>
      <c r="Y140" s="92">
        <v>8.9005235602094238E-2</v>
      </c>
      <c r="Z140" s="80">
        <v>0.23076923076923078</v>
      </c>
      <c r="AA140" s="105">
        <f t="shared" si="36"/>
        <v>0.33333333333333331</v>
      </c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</row>
    <row r="141" spans="1:43" x14ac:dyDescent="0.3">
      <c r="A141" s="102">
        <v>154</v>
      </c>
      <c r="B141" s="103">
        <v>7.7999999999999847E-2</v>
      </c>
      <c r="C141" s="93">
        <v>154</v>
      </c>
      <c r="D141" s="103">
        <v>7.7999999999999847E-2</v>
      </c>
      <c r="E141" s="93"/>
      <c r="F141" s="104"/>
      <c r="G141" s="80"/>
      <c r="H141" s="102"/>
      <c r="I141" s="80"/>
      <c r="J141" s="102"/>
      <c r="K141" s="80"/>
      <c r="L141" s="93"/>
      <c r="M141" s="104"/>
      <c r="N141" s="80"/>
      <c r="O141" s="91">
        <v>1.6409999999999982</v>
      </c>
      <c r="P141" s="92">
        <v>169</v>
      </c>
      <c r="Q141" s="103">
        <v>144</v>
      </c>
      <c r="R141" s="93">
        <v>126</v>
      </c>
      <c r="S141" s="92">
        <f t="shared" si="26"/>
        <v>9.7402597402597407E-2</v>
      </c>
      <c r="T141" s="104">
        <f t="shared" si="27"/>
        <v>0.1736111111111111</v>
      </c>
      <c r="U141" s="103">
        <v>1.6409999999999982</v>
      </c>
      <c r="V141" s="92">
        <v>169</v>
      </c>
      <c r="W141" s="92">
        <v>144</v>
      </c>
      <c r="X141" s="93">
        <v>126</v>
      </c>
      <c r="Y141" s="92">
        <v>9.7402597402597407E-2</v>
      </c>
      <c r="Z141" s="80">
        <v>0.1736111111111111</v>
      </c>
      <c r="AA141" s="105">
        <f t="shared" si="36"/>
        <v>0.34126984126984128</v>
      </c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</row>
    <row r="142" spans="1:43" x14ac:dyDescent="0.3">
      <c r="A142" s="102">
        <v>169</v>
      </c>
      <c r="B142" s="103">
        <v>4.7000000000000153E-2</v>
      </c>
      <c r="C142" s="93">
        <v>169</v>
      </c>
      <c r="D142" s="103">
        <v>4.7000000000000153E-2</v>
      </c>
      <c r="E142" s="93"/>
      <c r="F142" s="104"/>
      <c r="G142" s="80"/>
      <c r="H142" s="102"/>
      <c r="I142" s="80"/>
      <c r="J142" s="102"/>
      <c r="K142" s="80"/>
      <c r="L142" s="93"/>
      <c r="M142" s="104"/>
      <c r="N142" s="80"/>
      <c r="O142" s="91">
        <v>1.6709999999999994</v>
      </c>
      <c r="P142" s="92">
        <v>194</v>
      </c>
      <c r="Q142" s="103">
        <v>158</v>
      </c>
      <c r="R142" s="93">
        <v>149</v>
      </c>
      <c r="S142" s="92">
        <f t="shared" si="26"/>
        <v>0.14792899408284024</v>
      </c>
      <c r="T142" s="104">
        <f t="shared" si="27"/>
        <v>0.22784810126582278</v>
      </c>
      <c r="U142" s="103">
        <v>1.6709999999999994</v>
      </c>
      <c r="V142" s="92">
        <v>194</v>
      </c>
      <c r="W142" s="92">
        <v>158</v>
      </c>
      <c r="X142" s="93">
        <v>149</v>
      </c>
      <c r="Y142" s="92">
        <v>0.14792899408284024</v>
      </c>
      <c r="Z142" s="80">
        <v>0.22784810126582278</v>
      </c>
      <c r="AA142" s="105">
        <f t="shared" si="36"/>
        <v>0.30201342281879195</v>
      </c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</row>
    <row r="143" spans="1:43" x14ac:dyDescent="0.3">
      <c r="A143" s="102">
        <v>175</v>
      </c>
      <c r="B143" s="103">
        <v>6.3000000000000167E-2</v>
      </c>
      <c r="C143" s="93">
        <v>175</v>
      </c>
      <c r="D143" s="103">
        <v>6.3000000000000167E-2</v>
      </c>
      <c r="E143" s="93"/>
      <c r="F143" s="104"/>
      <c r="G143" s="80"/>
      <c r="H143" s="102"/>
      <c r="I143" s="80"/>
      <c r="J143" s="102"/>
      <c r="K143" s="80"/>
      <c r="L143" s="93"/>
      <c r="M143" s="104"/>
      <c r="N143" s="80"/>
      <c r="O143" s="91">
        <v>1.7190000000000012</v>
      </c>
      <c r="P143" s="92">
        <v>200</v>
      </c>
      <c r="Q143" s="103">
        <v>170</v>
      </c>
      <c r="R143" s="93">
        <v>140</v>
      </c>
      <c r="S143" s="92">
        <f t="shared" si="26"/>
        <v>0.14285714285714285</v>
      </c>
      <c r="T143" s="104">
        <f t="shared" si="27"/>
        <v>0.17647058823529413</v>
      </c>
      <c r="U143" s="103">
        <v>1.7190000000000012</v>
      </c>
      <c r="V143" s="92">
        <v>200</v>
      </c>
      <c r="W143" s="92">
        <v>170</v>
      </c>
      <c r="X143" s="93">
        <v>140</v>
      </c>
      <c r="Y143" s="92">
        <v>0.14285714285714285</v>
      </c>
      <c r="Z143" s="80">
        <v>0.17647058823529413</v>
      </c>
      <c r="AA143" s="105">
        <f t="shared" si="36"/>
        <v>0.42857142857142855</v>
      </c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  <c r="AQ143" s="80"/>
    </row>
    <row r="144" spans="1:43" x14ac:dyDescent="0.3">
      <c r="A144" s="102">
        <v>196</v>
      </c>
      <c r="B144" s="103">
        <v>0.26499999999999968</v>
      </c>
      <c r="C144" s="93">
        <v>196</v>
      </c>
      <c r="D144" s="103">
        <v>0.26499999999999968</v>
      </c>
      <c r="E144" s="93"/>
      <c r="F144" s="104"/>
      <c r="G144" s="80"/>
      <c r="H144" s="102"/>
      <c r="I144" s="80"/>
      <c r="J144" s="102"/>
      <c r="K144" s="80"/>
      <c r="L144" s="93"/>
      <c r="M144" s="104"/>
      <c r="N144" s="80"/>
      <c r="O144" s="91">
        <v>1.6559999999999988</v>
      </c>
      <c r="P144" s="92">
        <v>209</v>
      </c>
      <c r="Q144" s="103">
        <v>184</v>
      </c>
      <c r="R144" s="93">
        <v>147</v>
      </c>
      <c r="S144" s="92">
        <f t="shared" si="26"/>
        <v>6.6326530612244902E-2</v>
      </c>
      <c r="T144" s="104">
        <f t="shared" si="27"/>
        <v>0.1358695652173913</v>
      </c>
      <c r="U144" s="103">
        <v>1.6559999999999988</v>
      </c>
      <c r="V144" s="92">
        <v>209</v>
      </c>
      <c r="W144" s="92">
        <v>184</v>
      </c>
      <c r="X144" s="93">
        <v>147</v>
      </c>
      <c r="Y144" s="92">
        <v>6.6326530612244902E-2</v>
      </c>
      <c r="Z144" s="80">
        <v>0.1358695652173913</v>
      </c>
      <c r="AA144" s="105">
        <f>(V144-X144)/X144</f>
        <v>0.42176870748299322</v>
      </c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</row>
    <row r="145" spans="1:43" x14ac:dyDescent="0.3">
      <c r="A145" s="102">
        <v>149</v>
      </c>
      <c r="B145" s="103">
        <v>6.2000000000000277E-2</v>
      </c>
      <c r="C145" s="93">
        <v>149</v>
      </c>
      <c r="D145" s="103">
        <v>6.2000000000000277E-2</v>
      </c>
      <c r="E145" s="93"/>
      <c r="F145" s="104"/>
      <c r="G145" s="80"/>
      <c r="H145" s="102"/>
      <c r="I145" s="80"/>
      <c r="J145" s="102"/>
      <c r="K145" s="80"/>
      <c r="L145" s="93"/>
      <c r="M145" s="104"/>
      <c r="N145" s="80"/>
      <c r="O145" s="91">
        <v>1.6720000000000041</v>
      </c>
      <c r="P145" s="92">
        <v>160</v>
      </c>
      <c r="Q145" s="103">
        <v>138</v>
      </c>
      <c r="R145" s="93">
        <v>122</v>
      </c>
      <c r="S145" s="92">
        <f t="shared" si="26"/>
        <v>7.3825503355704702E-2</v>
      </c>
      <c r="T145" s="104">
        <f t="shared" si="27"/>
        <v>0.15942028985507245</v>
      </c>
      <c r="U145" s="103">
        <v>1.6720000000000041</v>
      </c>
      <c r="V145" s="92">
        <v>160</v>
      </c>
      <c r="W145" s="92">
        <v>138</v>
      </c>
      <c r="X145" s="93">
        <v>122</v>
      </c>
      <c r="Y145" s="92">
        <v>7.3825503355704702E-2</v>
      </c>
      <c r="Z145" s="80">
        <v>0.15942028985507245</v>
      </c>
      <c r="AA145" s="105">
        <f>(V145-X145)/X145</f>
        <v>0.31147540983606559</v>
      </c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</row>
    <row r="146" spans="1:43" ht="15" thickBot="1" x14ac:dyDescent="0.35">
      <c r="A146" s="106">
        <v>160</v>
      </c>
      <c r="B146" s="109">
        <v>0.10899999999999999</v>
      </c>
      <c r="C146" s="110">
        <v>160</v>
      </c>
      <c r="D146" s="109">
        <v>0.10899999999999999</v>
      </c>
      <c r="E146" s="110"/>
      <c r="F146" s="108"/>
      <c r="G146" s="111"/>
      <c r="H146" s="106"/>
      <c r="I146" s="107"/>
      <c r="J146" s="106"/>
      <c r="K146" s="107"/>
      <c r="L146" s="110"/>
      <c r="M146" s="108"/>
      <c r="N146" s="111"/>
      <c r="O146" s="112">
        <v>1.6879999999999953</v>
      </c>
      <c r="P146" s="113">
        <v>196</v>
      </c>
      <c r="Q146" s="109">
        <v>144</v>
      </c>
      <c r="R146" s="110">
        <v>131</v>
      </c>
      <c r="S146" s="113">
        <f t="shared" si="26"/>
        <v>0.22500000000000001</v>
      </c>
      <c r="T146" s="108">
        <f t="shared" si="27"/>
        <v>0.3611111111111111</v>
      </c>
      <c r="U146" s="109">
        <v>1.6879999999999953</v>
      </c>
      <c r="V146" s="113">
        <v>196</v>
      </c>
      <c r="W146" s="113">
        <v>144</v>
      </c>
      <c r="X146" s="110">
        <v>131</v>
      </c>
      <c r="Y146" s="113">
        <v>0.22500000000000001</v>
      </c>
      <c r="Z146" s="107">
        <v>0.3611111111111111</v>
      </c>
      <c r="AA146" s="114">
        <f>(V146-X146)/X146</f>
        <v>0.49618320610687022</v>
      </c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</row>
    <row r="147" spans="1:43" x14ac:dyDescent="0.3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  <c r="AQ147" s="80"/>
    </row>
    <row r="148" spans="1:43" x14ac:dyDescent="0.3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  <c r="AQ148" s="80"/>
    </row>
    <row r="149" spans="1:43" x14ac:dyDescent="0.3">
      <c r="A149" s="80">
        <f>AVERAGE(A117:A146)</f>
        <v>172.1</v>
      </c>
      <c r="B149" s="80"/>
      <c r="C149" s="80"/>
      <c r="D149" s="80">
        <f>AVERAGE(D117:D146)</f>
        <v>0.10453333333333334</v>
      </c>
      <c r="E149" s="80" t="s">
        <v>17</v>
      </c>
      <c r="F149" s="80"/>
      <c r="G149" s="80"/>
      <c r="H149" s="80" t="e">
        <f>AVERAGE(H117:H146)</f>
        <v>#DIV/0!</v>
      </c>
      <c r="I149" s="80"/>
      <c r="J149" s="80" t="e">
        <f>AVERAGE(J117:J146)</f>
        <v>#DIV/0!</v>
      </c>
      <c r="K149" s="80" t="s">
        <v>17</v>
      </c>
      <c r="L149" s="80"/>
      <c r="M149" s="80"/>
      <c r="N149" s="80"/>
      <c r="O149" s="80">
        <f>AVERAGE(O117:O146)</f>
        <v>1.6474</v>
      </c>
      <c r="P149" s="80"/>
      <c r="Q149" s="80"/>
      <c r="R149" s="80"/>
      <c r="S149" s="80"/>
      <c r="T149" s="80"/>
      <c r="U149" s="80">
        <f>AVERAGE(U117:U146)</f>
        <v>1.6474</v>
      </c>
      <c r="V149" s="80" t="s">
        <v>17</v>
      </c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</row>
    <row r="150" spans="1:43" x14ac:dyDescent="0.3">
      <c r="A150" s="80"/>
      <c r="B150" s="80"/>
      <c r="C150" s="80"/>
      <c r="D150" s="80">
        <f>_xlfn.STDEV.S(D117:D146)</f>
        <v>5.629033930303283E-2</v>
      </c>
      <c r="E150" s="79">
        <f>D150/D149</f>
        <v>0.53849176629176809</v>
      </c>
      <c r="F150" s="80"/>
      <c r="G150" s="80"/>
      <c r="H150" s="80"/>
      <c r="I150" s="80"/>
      <c r="J150" s="80" t="e">
        <f>_xlfn.STDEV.S(J117:J146)</f>
        <v>#DIV/0!</v>
      </c>
      <c r="K150" s="79" t="e">
        <f>J150/J149</f>
        <v>#DIV/0!</v>
      </c>
      <c r="L150" s="80"/>
      <c r="M150" s="80"/>
      <c r="N150" s="80"/>
      <c r="O150" s="80"/>
      <c r="P150" s="80"/>
      <c r="Q150" s="80"/>
      <c r="R150" s="80"/>
      <c r="S150" s="80"/>
      <c r="T150" s="80"/>
      <c r="U150" s="80">
        <f>_xlfn.STDEV.S(U117:U146)</f>
        <v>0.11729114967934905</v>
      </c>
      <c r="V150" s="79">
        <f>U150/U149</f>
        <v>7.1197735631509676E-2</v>
      </c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</row>
    <row r="151" spans="1:43" x14ac:dyDescent="0.3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  <c r="AQ151" s="80"/>
    </row>
    <row r="152" spans="1:43" x14ac:dyDescent="0.3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</row>
    <row r="153" spans="1:43" x14ac:dyDescent="0.3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</row>
    <row r="154" spans="1:43" x14ac:dyDescent="0.3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  <c r="AQ154" s="80"/>
    </row>
    <row r="155" spans="1:43" x14ac:dyDescent="0.3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  <c r="AQ155" s="80"/>
    </row>
    <row r="156" spans="1:43" x14ac:dyDescent="0.3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  <c r="AQ156" s="80"/>
    </row>
    <row r="157" spans="1:43" x14ac:dyDescent="0.3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</row>
    <row r="158" spans="1:43" x14ac:dyDescent="0.3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</row>
    <row r="159" spans="1:43" x14ac:dyDescent="0.3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  <c r="AQ159" s="80"/>
    </row>
    <row r="160" spans="1:43" x14ac:dyDescent="0.3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  <c r="AQ160" s="80"/>
    </row>
    <row r="161" spans="1:43" x14ac:dyDescent="0.3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</row>
    <row r="162" spans="1:43" x14ac:dyDescent="0.3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</row>
    <row r="163" spans="1:43" x14ac:dyDescent="0.3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</row>
    <row r="164" spans="1:43" x14ac:dyDescent="0.3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</row>
    <row r="165" spans="1:43" x14ac:dyDescent="0.3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</row>
    <row r="166" spans="1:43" x14ac:dyDescent="0.3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</row>
    <row r="167" spans="1:43" x14ac:dyDescent="0.3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</row>
    <row r="168" spans="1:43" x14ac:dyDescent="0.3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</row>
    <row r="169" spans="1:43" x14ac:dyDescent="0.3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</row>
    <row r="170" spans="1:43" x14ac:dyDescent="0.3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</row>
    <row r="171" spans="1:43" x14ac:dyDescent="0.3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</row>
    <row r="172" spans="1:43" x14ac:dyDescent="0.3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</row>
    <row r="173" spans="1:43" x14ac:dyDescent="0.3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</row>
    <row r="174" spans="1:43" x14ac:dyDescent="0.3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</row>
    <row r="175" spans="1:43" x14ac:dyDescent="0.3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</row>
    <row r="176" spans="1:43" x14ac:dyDescent="0.3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</row>
    <row r="177" spans="1:43" ht="15" thickBot="1" x14ac:dyDescent="0.35">
      <c r="A177" s="79" t="s">
        <v>33</v>
      </c>
      <c r="B177" s="79" t="s">
        <v>34</v>
      </c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</row>
    <row r="178" spans="1:43" x14ac:dyDescent="0.3">
      <c r="A178" s="123" t="s">
        <v>1</v>
      </c>
      <c r="B178" s="124"/>
      <c r="C178" s="124"/>
      <c r="D178" s="124"/>
      <c r="E178" s="124"/>
      <c r="F178" s="125"/>
      <c r="G178" s="80"/>
      <c r="H178" s="123" t="s">
        <v>2</v>
      </c>
      <c r="I178" s="124"/>
      <c r="J178" s="124"/>
      <c r="K178" s="124"/>
      <c r="L178" s="124"/>
      <c r="M178" s="125"/>
      <c r="N178" s="80"/>
      <c r="O178" s="81" t="s">
        <v>3</v>
      </c>
      <c r="P178" s="82"/>
      <c r="Q178" s="82"/>
      <c r="R178" s="82"/>
      <c r="S178" s="82"/>
      <c r="T178" s="83"/>
      <c r="U178" s="85" t="s">
        <v>12</v>
      </c>
      <c r="V178" s="85"/>
      <c r="W178" s="85"/>
      <c r="X178" s="85"/>
      <c r="Y178" s="85"/>
      <c r="Z178" s="85"/>
      <c r="AA178" s="86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</row>
    <row r="179" spans="1:43" x14ac:dyDescent="0.3">
      <c r="A179" s="87" t="s">
        <v>11</v>
      </c>
      <c r="B179" s="88"/>
      <c r="C179" s="89" t="s">
        <v>12</v>
      </c>
      <c r="D179" s="88"/>
      <c r="E179" s="89"/>
      <c r="F179" s="90"/>
      <c r="G179" s="80"/>
      <c r="H179" s="87" t="s">
        <v>11</v>
      </c>
      <c r="I179" s="88"/>
      <c r="J179" s="89" t="s">
        <v>12</v>
      </c>
      <c r="K179" s="88"/>
      <c r="L179" s="89"/>
      <c r="M179" s="90"/>
      <c r="N179" s="80"/>
      <c r="O179" s="91" t="s">
        <v>4</v>
      </c>
      <c r="P179" s="92" t="s">
        <v>0</v>
      </c>
      <c r="Q179" s="92" t="s">
        <v>7</v>
      </c>
      <c r="R179" s="93" t="s">
        <v>8</v>
      </c>
      <c r="S179" s="94" t="s">
        <v>9</v>
      </c>
      <c r="T179" s="97" t="s">
        <v>10</v>
      </c>
      <c r="U179" s="115" t="s">
        <v>4</v>
      </c>
      <c r="V179" s="97" t="s">
        <v>0</v>
      </c>
      <c r="W179" s="97" t="s">
        <v>7</v>
      </c>
      <c r="X179" s="98" t="s">
        <v>8</v>
      </c>
      <c r="Y179" s="97" t="s">
        <v>9</v>
      </c>
      <c r="Z179" s="98" t="s">
        <v>10</v>
      </c>
      <c r="AA179" s="95" t="s">
        <v>18</v>
      </c>
      <c r="AB179" s="80"/>
      <c r="AC179" s="80" t="s">
        <v>15</v>
      </c>
      <c r="AD179" s="80">
        <f>SQRT(29)</f>
        <v>5.3851648071345037</v>
      </c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</row>
    <row r="180" spans="1:43" ht="15" thickBot="1" x14ac:dyDescent="0.35">
      <c r="A180" s="87">
        <v>245</v>
      </c>
      <c r="B180" s="88">
        <v>0.875</v>
      </c>
      <c r="C180" s="89">
        <v>245</v>
      </c>
      <c r="D180" s="88">
        <v>0.875</v>
      </c>
      <c r="E180" s="89"/>
      <c r="F180" s="90"/>
      <c r="G180" s="80"/>
      <c r="H180" s="87"/>
      <c r="I180" s="100"/>
      <c r="J180" s="87"/>
      <c r="K180" s="100"/>
      <c r="L180" s="89"/>
      <c r="M180" s="90"/>
      <c r="N180" s="80"/>
      <c r="O180" s="101">
        <v>5.391</v>
      </c>
      <c r="P180" s="94">
        <v>264</v>
      </c>
      <c r="Q180" s="88">
        <v>217</v>
      </c>
      <c r="R180" s="89">
        <v>217</v>
      </c>
      <c r="S180" s="94">
        <f>(P180-C180)/C180</f>
        <v>7.7551020408163265E-2</v>
      </c>
      <c r="T180" s="104">
        <f>(P180-Q180)/Q180</f>
        <v>0.21658986175115208</v>
      </c>
      <c r="U180" s="88">
        <v>5.391</v>
      </c>
      <c r="V180" s="94">
        <v>264</v>
      </c>
      <c r="W180" s="94">
        <v>217</v>
      </c>
      <c r="X180" s="89">
        <v>217</v>
      </c>
      <c r="Y180" s="94">
        <v>7.7551020408163265E-2</v>
      </c>
      <c r="Z180" s="100">
        <v>0.21658986175115208</v>
      </c>
      <c r="AA180" s="95">
        <f>(V180-X180)/X180</f>
        <v>0.21658986175115208</v>
      </c>
      <c r="AB180" s="80"/>
      <c r="AC180" s="80"/>
      <c r="AD180" s="80"/>
      <c r="AE180" s="80" t="s">
        <v>16</v>
      </c>
      <c r="AF180" s="80" t="s">
        <v>7</v>
      </c>
      <c r="AG180" s="80" t="s">
        <v>8</v>
      </c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</row>
    <row r="181" spans="1:43" x14ac:dyDescent="0.3">
      <c r="A181" s="102">
        <v>250</v>
      </c>
      <c r="B181" s="103">
        <v>2.359</v>
      </c>
      <c r="C181" s="93">
        <v>250</v>
      </c>
      <c r="D181" s="103">
        <v>2.359</v>
      </c>
      <c r="E181" s="93"/>
      <c r="F181" s="104"/>
      <c r="G181" s="80"/>
      <c r="H181" s="102"/>
      <c r="I181" s="80"/>
      <c r="J181" s="102"/>
      <c r="K181" s="80"/>
      <c r="L181" s="93"/>
      <c r="M181" s="104"/>
      <c r="N181" s="80"/>
      <c r="O181" s="91">
        <v>4.7029999999999994</v>
      </c>
      <c r="P181" s="92">
        <v>297</v>
      </c>
      <c r="Q181" s="103">
        <v>227</v>
      </c>
      <c r="R181" s="93">
        <v>199</v>
      </c>
      <c r="S181" s="92">
        <f t="shared" ref="S181:S209" si="37">(P181-C181)/C181</f>
        <v>0.188</v>
      </c>
      <c r="T181" s="104">
        <f t="shared" ref="T181:T209" si="38">(P181-Q181)/Q181</f>
        <v>0.30837004405286345</v>
      </c>
      <c r="U181" s="103">
        <v>4.7029999999999994</v>
      </c>
      <c r="V181" s="92">
        <v>297</v>
      </c>
      <c r="W181" s="92">
        <v>227</v>
      </c>
      <c r="X181" s="93">
        <v>199</v>
      </c>
      <c r="Y181" s="92">
        <v>0.188</v>
      </c>
      <c r="Z181" s="80">
        <v>0.30837004405286345</v>
      </c>
      <c r="AA181" s="105">
        <f t="shared" ref="AA181:AA189" si="39">(V181-X181)/X181</f>
        <v>0.49246231155778897</v>
      </c>
      <c r="AB181" s="80"/>
      <c r="AC181" s="84">
        <v>0</v>
      </c>
      <c r="AD181" s="85">
        <f t="shared" ref="AD181:AD186" si="40">AC181+0.1</f>
        <v>0.1</v>
      </c>
      <c r="AE181" s="84">
        <f>COUNTIFS($Y$180:$Y$209,"&lt;"&amp;AD181,$Y$180:$Y$209,"&gt;="&amp;AC181)/30</f>
        <v>6.6666666666666666E-2</v>
      </c>
      <c r="AF181" s="85">
        <f>COUNTIFS($Z$180:$Z$209,"&lt;"&amp;AD181,$Z$180:$Z$209,"&gt;="&amp;AC181)/30</f>
        <v>0</v>
      </c>
      <c r="AG181" s="86">
        <f>COUNTIFS($AA$180:$AA$209,"&lt;"&amp;AD181,$AA$180:$AA$209,"&gt;="&amp;AC181)/30</f>
        <v>0</v>
      </c>
      <c r="AH181" s="86" t="str">
        <f>_xlfn.CONCAT(TEXT(AC181,"0.00"),"-",TEXT(AD181,"0.00"))</f>
        <v>0.00-0.10</v>
      </c>
      <c r="AI181" s="80"/>
      <c r="AJ181" s="80"/>
      <c r="AK181" s="80"/>
      <c r="AL181" s="80"/>
      <c r="AM181" s="80"/>
      <c r="AN181" s="80"/>
      <c r="AO181" s="80"/>
      <c r="AP181" s="80"/>
      <c r="AQ181" s="80"/>
    </row>
    <row r="182" spans="1:43" x14ac:dyDescent="0.3">
      <c r="A182" s="102">
        <v>242</v>
      </c>
      <c r="B182" s="103">
        <v>1.0469999999999997</v>
      </c>
      <c r="C182" s="93">
        <v>242</v>
      </c>
      <c r="D182" s="103">
        <v>1.0469999999999997</v>
      </c>
      <c r="E182" s="93"/>
      <c r="F182" s="104"/>
      <c r="G182" s="80"/>
      <c r="H182" s="102"/>
      <c r="I182" s="80"/>
      <c r="J182" s="102"/>
      <c r="K182" s="80"/>
      <c r="L182" s="93"/>
      <c r="M182" s="104"/>
      <c r="N182" s="80"/>
      <c r="O182" s="91">
        <v>5.1560000000000006</v>
      </c>
      <c r="P182" s="92">
        <v>286</v>
      </c>
      <c r="Q182" s="103">
        <v>218</v>
      </c>
      <c r="R182" s="93">
        <v>215</v>
      </c>
      <c r="S182" s="92">
        <f t="shared" si="37"/>
        <v>0.18181818181818182</v>
      </c>
      <c r="T182" s="104">
        <f t="shared" si="38"/>
        <v>0.31192660550458717</v>
      </c>
      <c r="U182" s="103">
        <v>5.1560000000000006</v>
      </c>
      <c r="V182" s="92">
        <v>286</v>
      </c>
      <c r="W182" s="92">
        <v>218</v>
      </c>
      <c r="X182" s="93">
        <v>215</v>
      </c>
      <c r="Y182" s="92">
        <v>0.18181818181818182</v>
      </c>
      <c r="Z182" s="80">
        <v>0.31192660550458717</v>
      </c>
      <c r="AA182" s="105">
        <f t="shared" si="39"/>
        <v>0.33023255813953489</v>
      </c>
      <c r="AB182" s="80"/>
      <c r="AC182" s="102">
        <f t="shared" ref="AC182:AC187" si="41">AD181</f>
        <v>0.1</v>
      </c>
      <c r="AD182" s="80">
        <f t="shared" si="40"/>
        <v>0.2</v>
      </c>
      <c r="AE182" s="102">
        <f t="shared" ref="AE182:AE187" si="42">COUNTIFS($Y$180:$Y$209,"&lt;"&amp;AD182,$Y$180:$Y$209,"&gt;="&amp;AC182)/30</f>
        <v>0.53333333333333333</v>
      </c>
      <c r="AF182" s="80">
        <f t="shared" ref="AF182:AF187" si="43">COUNTIFS($Z$180:$Z$209,"&lt;"&amp;AD182,$Z$180:$Z$209,"&gt;="&amp;AC182)/30</f>
        <v>0.13333333333333333</v>
      </c>
      <c r="AG182" s="104">
        <f t="shared" ref="AG182:AG187" si="44">COUNTIFS($AA$180:$AA$209,"&lt;"&amp;AD182,$AA$180:$AA$209,"&gt;="&amp;AC182)/30</f>
        <v>3.3333333333333333E-2</v>
      </c>
      <c r="AH182" s="104" t="str">
        <f t="shared" ref="AH182:AH187" si="45">_xlfn.CONCAT(TEXT(AC182,"0.00"),"-",TEXT(AD182,"0.00"))</f>
        <v>0.10-0.20</v>
      </c>
      <c r="AI182" s="80"/>
      <c r="AJ182" s="80"/>
      <c r="AK182" s="80"/>
      <c r="AL182" s="80"/>
      <c r="AM182" s="80"/>
      <c r="AN182" s="80"/>
      <c r="AO182" s="80"/>
      <c r="AP182" s="80"/>
      <c r="AQ182" s="80"/>
    </row>
    <row r="183" spans="1:43" x14ac:dyDescent="0.3">
      <c r="A183" s="102">
        <v>263</v>
      </c>
      <c r="B183" s="103">
        <v>4.9059999999999997</v>
      </c>
      <c r="C183" s="93">
        <v>263</v>
      </c>
      <c r="D183" s="103">
        <v>4.9059999999999997</v>
      </c>
      <c r="E183" s="93"/>
      <c r="F183" s="104"/>
      <c r="G183" s="80"/>
      <c r="H183" s="102"/>
      <c r="I183" s="80"/>
      <c r="J183" s="102"/>
      <c r="K183" s="80"/>
      <c r="L183" s="93"/>
      <c r="M183" s="104"/>
      <c r="N183" s="80"/>
      <c r="O183" s="91">
        <v>5.7659999999999982</v>
      </c>
      <c r="P183" s="92">
        <v>350</v>
      </c>
      <c r="Q183" s="103">
        <v>262</v>
      </c>
      <c r="R183" s="93">
        <v>212</v>
      </c>
      <c r="S183" s="92">
        <f t="shared" si="37"/>
        <v>0.33079847908745247</v>
      </c>
      <c r="T183" s="104">
        <f t="shared" si="38"/>
        <v>0.33587786259541985</v>
      </c>
      <c r="U183" s="103">
        <v>5.7659999999999982</v>
      </c>
      <c r="V183" s="92">
        <v>350</v>
      </c>
      <c r="W183" s="92">
        <v>262</v>
      </c>
      <c r="X183" s="93">
        <v>212</v>
      </c>
      <c r="Y183" s="92">
        <v>0.33079847908745247</v>
      </c>
      <c r="Z183" s="80">
        <v>0.33587786259541985</v>
      </c>
      <c r="AA183" s="105">
        <f t="shared" si="39"/>
        <v>0.65094339622641506</v>
      </c>
      <c r="AB183" s="80"/>
      <c r="AC183" s="102">
        <f t="shared" si="41"/>
        <v>0.2</v>
      </c>
      <c r="AD183" s="80">
        <f t="shared" si="40"/>
        <v>0.30000000000000004</v>
      </c>
      <c r="AE183" s="102">
        <f t="shared" si="42"/>
        <v>0.3</v>
      </c>
      <c r="AF183" s="80">
        <f t="shared" si="43"/>
        <v>0.36666666666666664</v>
      </c>
      <c r="AG183" s="104">
        <f t="shared" si="44"/>
        <v>0.1</v>
      </c>
      <c r="AH183" s="104" t="str">
        <f t="shared" si="45"/>
        <v>0.20-0.30</v>
      </c>
      <c r="AI183" s="80"/>
      <c r="AJ183" s="80"/>
      <c r="AK183" s="80"/>
      <c r="AL183" s="80"/>
      <c r="AM183" s="80"/>
      <c r="AN183" s="80"/>
      <c r="AO183" s="80"/>
      <c r="AP183" s="80"/>
      <c r="AQ183" s="80"/>
    </row>
    <row r="184" spans="1:43" x14ac:dyDescent="0.3">
      <c r="A184" s="102">
        <v>243</v>
      </c>
      <c r="B184" s="103">
        <v>1.968</v>
      </c>
      <c r="C184" s="93">
        <v>243</v>
      </c>
      <c r="D184" s="103">
        <v>1.968</v>
      </c>
      <c r="E184" s="93"/>
      <c r="F184" s="104"/>
      <c r="G184" s="80"/>
      <c r="H184" s="102"/>
      <c r="I184" s="80"/>
      <c r="J184" s="102"/>
      <c r="K184" s="80"/>
      <c r="L184" s="93"/>
      <c r="M184" s="104"/>
      <c r="N184" s="80"/>
      <c r="O184" s="91">
        <v>5.7970000000000006</v>
      </c>
      <c r="P184" s="92">
        <v>314</v>
      </c>
      <c r="Q184" s="103">
        <v>221</v>
      </c>
      <c r="R184" s="93">
        <v>221</v>
      </c>
      <c r="S184" s="92">
        <f t="shared" si="37"/>
        <v>0.29218106995884774</v>
      </c>
      <c r="T184" s="104">
        <f t="shared" si="38"/>
        <v>0.42081447963800905</v>
      </c>
      <c r="U184" s="103">
        <v>5.7970000000000006</v>
      </c>
      <c r="V184" s="92">
        <v>314</v>
      </c>
      <c r="W184" s="92">
        <v>221</v>
      </c>
      <c r="X184" s="93">
        <v>221</v>
      </c>
      <c r="Y184" s="92">
        <v>0.29218106995884774</v>
      </c>
      <c r="Z184" s="80">
        <v>0.42081447963800905</v>
      </c>
      <c r="AA184" s="105">
        <f t="shared" si="39"/>
        <v>0.42081447963800905</v>
      </c>
      <c r="AB184" s="80"/>
      <c r="AC184" s="102">
        <f t="shared" si="41"/>
        <v>0.30000000000000004</v>
      </c>
      <c r="AD184" s="80">
        <f t="shared" si="40"/>
        <v>0.4</v>
      </c>
      <c r="AE184" s="102">
        <f t="shared" si="42"/>
        <v>0.1</v>
      </c>
      <c r="AF184" s="80">
        <f t="shared" si="43"/>
        <v>0.4</v>
      </c>
      <c r="AG184" s="104">
        <f t="shared" si="44"/>
        <v>0.2</v>
      </c>
      <c r="AH184" s="104" t="str">
        <f t="shared" si="45"/>
        <v>0.30-0.40</v>
      </c>
      <c r="AI184" s="80"/>
      <c r="AJ184" s="80">
        <f>AVERAGE(Y180:Y209)</f>
        <v>0.20132270598006172</v>
      </c>
      <c r="AK184" s="80">
        <f>AVERAGE(Z180:Z209)</f>
        <v>0.29155280772104558</v>
      </c>
      <c r="AL184" s="80">
        <f>AVERAGE(AA180:AA209)</f>
        <v>0.45204694189813283</v>
      </c>
      <c r="AM184" s="80"/>
      <c r="AN184" s="80"/>
      <c r="AO184" s="80"/>
      <c r="AP184" s="80"/>
      <c r="AQ184" s="80"/>
    </row>
    <row r="185" spans="1:43" x14ac:dyDescent="0.3">
      <c r="A185" s="102">
        <v>246</v>
      </c>
      <c r="B185" s="103">
        <v>2.2030000000000012</v>
      </c>
      <c r="C185" s="93">
        <v>246</v>
      </c>
      <c r="D185" s="103">
        <v>2.2030000000000012</v>
      </c>
      <c r="E185" s="93"/>
      <c r="F185" s="104"/>
      <c r="G185" s="80"/>
      <c r="H185" s="102"/>
      <c r="I185" s="80"/>
      <c r="J185" s="102"/>
      <c r="K185" s="80"/>
      <c r="L185" s="93"/>
      <c r="M185" s="104"/>
      <c r="N185" s="80"/>
      <c r="O185" s="91">
        <v>5.7810000000000024</v>
      </c>
      <c r="P185" s="92">
        <v>299</v>
      </c>
      <c r="Q185" s="103">
        <v>229</v>
      </c>
      <c r="R185" s="93">
        <v>204</v>
      </c>
      <c r="S185" s="92">
        <f t="shared" si="37"/>
        <v>0.21544715447154472</v>
      </c>
      <c r="T185" s="104">
        <f t="shared" si="38"/>
        <v>0.3056768558951965</v>
      </c>
      <c r="U185" s="103">
        <v>5.7810000000000024</v>
      </c>
      <c r="V185" s="92">
        <v>299</v>
      </c>
      <c r="W185" s="92">
        <v>229</v>
      </c>
      <c r="X185" s="93">
        <v>204</v>
      </c>
      <c r="Y185" s="92">
        <v>0.21544715447154472</v>
      </c>
      <c r="Z185" s="80">
        <v>0.3056768558951965</v>
      </c>
      <c r="AA185" s="105">
        <f t="shared" si="39"/>
        <v>0.46568627450980393</v>
      </c>
      <c r="AB185" s="80"/>
      <c r="AC185" s="102">
        <f t="shared" si="41"/>
        <v>0.4</v>
      </c>
      <c r="AD185" s="80">
        <f t="shared" si="40"/>
        <v>0.5</v>
      </c>
      <c r="AE185" s="102">
        <f t="shared" si="42"/>
        <v>0</v>
      </c>
      <c r="AF185" s="80">
        <f t="shared" si="43"/>
        <v>3.3333333333333333E-2</v>
      </c>
      <c r="AG185" s="104">
        <f t="shared" si="44"/>
        <v>0.33333333333333331</v>
      </c>
      <c r="AH185" s="104" t="str">
        <f t="shared" si="45"/>
        <v>0.40-0.50</v>
      </c>
      <c r="AI185" s="80"/>
      <c r="AJ185" s="80"/>
      <c r="AK185" s="80"/>
      <c r="AL185" s="80"/>
      <c r="AM185" s="80"/>
      <c r="AN185" s="80"/>
      <c r="AO185" s="80"/>
      <c r="AP185" s="80"/>
      <c r="AQ185" s="80"/>
    </row>
    <row r="186" spans="1:43" x14ac:dyDescent="0.3">
      <c r="A186" s="102">
        <v>238</v>
      </c>
      <c r="B186" s="103">
        <v>2.1869999999999994</v>
      </c>
      <c r="C186" s="93">
        <v>238</v>
      </c>
      <c r="D186" s="103">
        <v>2.1869999999999994</v>
      </c>
      <c r="E186" s="93"/>
      <c r="F186" s="104"/>
      <c r="G186" s="80"/>
      <c r="H186" s="102"/>
      <c r="I186" s="80"/>
      <c r="J186" s="102"/>
      <c r="K186" s="80"/>
      <c r="L186" s="93"/>
      <c r="M186" s="104"/>
      <c r="N186" s="80"/>
      <c r="O186" s="91">
        <v>5.9529999999999959</v>
      </c>
      <c r="P186" s="92">
        <v>299</v>
      </c>
      <c r="Q186" s="103">
        <v>226</v>
      </c>
      <c r="R186" s="93">
        <v>193</v>
      </c>
      <c r="S186" s="92">
        <f t="shared" si="37"/>
        <v>0.25630252100840334</v>
      </c>
      <c r="T186" s="104">
        <f t="shared" si="38"/>
        <v>0.32300884955752213</v>
      </c>
      <c r="U186" s="103">
        <v>5.9529999999999959</v>
      </c>
      <c r="V186" s="92">
        <v>299</v>
      </c>
      <c r="W186" s="92">
        <v>226</v>
      </c>
      <c r="X186" s="93">
        <v>193</v>
      </c>
      <c r="Y186" s="92">
        <v>0.25630252100840334</v>
      </c>
      <c r="Z186" s="80">
        <v>0.32300884955752213</v>
      </c>
      <c r="AA186" s="105">
        <f t="shared" si="39"/>
        <v>0.54922279792746109</v>
      </c>
      <c r="AB186" s="80"/>
      <c r="AC186" s="102">
        <f t="shared" si="41"/>
        <v>0.5</v>
      </c>
      <c r="AD186" s="80">
        <f t="shared" si="40"/>
        <v>0.6</v>
      </c>
      <c r="AE186" s="102">
        <f t="shared" si="42"/>
        <v>0</v>
      </c>
      <c r="AF186" s="80">
        <f t="shared" si="43"/>
        <v>3.3333333333333333E-2</v>
      </c>
      <c r="AG186" s="104">
        <f t="shared" si="44"/>
        <v>0.2</v>
      </c>
      <c r="AH186" s="104" t="str">
        <f t="shared" si="45"/>
        <v>0.50-0.60</v>
      </c>
      <c r="AI186" s="80"/>
      <c r="AJ186" s="80"/>
      <c r="AK186" s="80"/>
      <c r="AL186" s="80"/>
      <c r="AM186" s="80"/>
      <c r="AN186" s="80"/>
      <c r="AO186" s="80"/>
      <c r="AP186" s="80"/>
      <c r="AQ186" s="80"/>
    </row>
    <row r="187" spans="1:43" ht="15" thickBot="1" x14ac:dyDescent="0.35">
      <c r="A187" s="102">
        <v>268</v>
      </c>
      <c r="B187" s="103">
        <v>1.6880000000000006</v>
      </c>
      <c r="C187" s="93">
        <v>268</v>
      </c>
      <c r="D187" s="103">
        <v>1.6880000000000006</v>
      </c>
      <c r="E187" s="93"/>
      <c r="F187" s="104"/>
      <c r="G187" s="80"/>
      <c r="H187" s="102"/>
      <c r="I187" s="80"/>
      <c r="J187" s="102"/>
      <c r="K187" s="80"/>
      <c r="L187" s="93"/>
      <c r="M187" s="104"/>
      <c r="N187" s="80"/>
      <c r="O187" s="91">
        <v>5.875</v>
      </c>
      <c r="P187" s="92">
        <v>304</v>
      </c>
      <c r="Q187" s="103">
        <v>248</v>
      </c>
      <c r="R187" s="93">
        <v>228</v>
      </c>
      <c r="S187" s="92">
        <f t="shared" si="37"/>
        <v>0.13432835820895522</v>
      </c>
      <c r="T187" s="104">
        <f t="shared" si="38"/>
        <v>0.22580645161290322</v>
      </c>
      <c r="U187" s="103">
        <v>5.875</v>
      </c>
      <c r="V187" s="92">
        <v>304</v>
      </c>
      <c r="W187" s="92">
        <v>248</v>
      </c>
      <c r="X187" s="93">
        <v>228</v>
      </c>
      <c r="Y187" s="92">
        <v>0.13432835820895522</v>
      </c>
      <c r="Z187" s="80">
        <v>0.22580645161290322</v>
      </c>
      <c r="AA187" s="105">
        <f t="shared" si="39"/>
        <v>0.33333333333333331</v>
      </c>
      <c r="AB187" s="80"/>
      <c r="AC187" s="106">
        <f t="shared" si="41"/>
        <v>0.6</v>
      </c>
      <c r="AD187" s="107">
        <f>1</f>
        <v>1</v>
      </c>
      <c r="AE187" s="106">
        <f t="shared" si="42"/>
        <v>0</v>
      </c>
      <c r="AF187" s="107">
        <f t="shared" si="43"/>
        <v>3.3333333333333333E-2</v>
      </c>
      <c r="AG187" s="108">
        <f t="shared" si="44"/>
        <v>0.13333333333333333</v>
      </c>
      <c r="AH187" s="108" t="str">
        <f t="shared" si="45"/>
        <v>0.60-1.00</v>
      </c>
      <c r="AI187" s="80"/>
      <c r="AJ187" s="80"/>
      <c r="AK187" s="80"/>
      <c r="AL187" s="80"/>
      <c r="AM187" s="80"/>
      <c r="AN187" s="80"/>
      <c r="AO187" s="80"/>
      <c r="AP187" s="80"/>
      <c r="AQ187" s="80"/>
    </row>
    <row r="188" spans="1:43" x14ac:dyDescent="0.3">
      <c r="A188" s="102">
        <v>217</v>
      </c>
      <c r="B188" s="103">
        <v>2.1409999999999982</v>
      </c>
      <c r="C188" s="93">
        <v>217</v>
      </c>
      <c r="D188" s="103">
        <v>2.1409999999999982</v>
      </c>
      <c r="E188" s="93"/>
      <c r="F188" s="104"/>
      <c r="G188" s="80"/>
      <c r="H188" s="102"/>
      <c r="I188" s="80"/>
      <c r="J188" s="102"/>
      <c r="K188" s="80"/>
      <c r="L188" s="93"/>
      <c r="M188" s="104"/>
      <c r="N188" s="80"/>
      <c r="O188" s="91">
        <v>5.9380000000000024</v>
      </c>
      <c r="P188" s="92">
        <v>270</v>
      </c>
      <c r="Q188" s="103">
        <v>205</v>
      </c>
      <c r="R188" s="93">
        <v>199</v>
      </c>
      <c r="S188" s="92">
        <f t="shared" si="37"/>
        <v>0.24423963133640553</v>
      </c>
      <c r="T188" s="104">
        <f t="shared" si="38"/>
        <v>0.31707317073170732</v>
      </c>
      <c r="U188" s="103">
        <v>5.9380000000000024</v>
      </c>
      <c r="V188" s="92">
        <v>270</v>
      </c>
      <c r="W188" s="92">
        <v>205</v>
      </c>
      <c r="X188" s="93">
        <v>199</v>
      </c>
      <c r="Y188" s="92">
        <v>0.24423963133640553</v>
      </c>
      <c r="Z188" s="80">
        <v>0.31707317073170732</v>
      </c>
      <c r="AA188" s="105">
        <f t="shared" si="39"/>
        <v>0.35678391959798994</v>
      </c>
      <c r="AB188" s="80"/>
      <c r="AC188" s="80"/>
      <c r="AD188" s="80"/>
      <c r="AE188" s="80">
        <v>30</v>
      </c>
      <c r="AF188" s="80">
        <v>30</v>
      </c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</row>
    <row r="189" spans="1:43" x14ac:dyDescent="0.3">
      <c r="A189" s="102">
        <v>242</v>
      </c>
      <c r="B189" s="103">
        <v>2.7660000000000018</v>
      </c>
      <c r="C189" s="93">
        <v>242</v>
      </c>
      <c r="D189" s="103">
        <v>2.7660000000000018</v>
      </c>
      <c r="E189" s="93"/>
      <c r="F189" s="104"/>
      <c r="G189" s="80"/>
      <c r="H189" s="102"/>
      <c r="I189" s="80"/>
      <c r="J189" s="102"/>
      <c r="K189" s="80"/>
      <c r="L189" s="93"/>
      <c r="M189" s="104"/>
      <c r="N189" s="80"/>
      <c r="O189" s="91">
        <v>7.078000000000003</v>
      </c>
      <c r="P189" s="92">
        <v>284</v>
      </c>
      <c r="Q189" s="103">
        <v>230</v>
      </c>
      <c r="R189" s="93">
        <v>196</v>
      </c>
      <c r="S189" s="92">
        <f t="shared" si="37"/>
        <v>0.17355371900826447</v>
      </c>
      <c r="T189" s="104">
        <f t="shared" si="38"/>
        <v>0.23478260869565218</v>
      </c>
      <c r="U189" s="103">
        <v>7.078000000000003</v>
      </c>
      <c r="V189" s="92">
        <v>284</v>
      </c>
      <c r="W189" s="92">
        <v>230</v>
      </c>
      <c r="X189" s="93">
        <v>196</v>
      </c>
      <c r="Y189" s="92">
        <v>0.17355371900826447</v>
      </c>
      <c r="Z189" s="80">
        <v>0.23478260869565218</v>
      </c>
      <c r="AA189" s="105">
        <f t="shared" si="39"/>
        <v>0.44897959183673469</v>
      </c>
      <c r="AB189" s="80"/>
      <c r="AC189" s="80"/>
      <c r="AD189" s="80"/>
      <c r="AE189" s="80">
        <f>SUM(AE181:AE187)</f>
        <v>0.99999999999999989</v>
      </c>
      <c r="AF189" s="80">
        <f>SUM(AF181:AF187)</f>
        <v>1</v>
      </c>
      <c r="AG189" s="80">
        <f>SUM(AG181:AG187)</f>
        <v>1</v>
      </c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</row>
    <row r="190" spans="1:43" x14ac:dyDescent="0.3">
      <c r="A190" s="102">
        <v>235</v>
      </c>
      <c r="B190" s="103">
        <v>5.3279999999999994</v>
      </c>
      <c r="C190" s="93">
        <v>235</v>
      </c>
      <c r="D190" s="103">
        <v>5.3279999999999994</v>
      </c>
      <c r="E190" s="93"/>
      <c r="F190" s="104"/>
      <c r="G190" s="80"/>
      <c r="H190" s="102"/>
      <c r="I190" s="80"/>
      <c r="J190" s="102"/>
      <c r="K190" s="80"/>
      <c r="L190" s="93"/>
      <c r="M190" s="104"/>
      <c r="N190" s="80"/>
      <c r="O190" s="91">
        <v>7.296999999999997</v>
      </c>
      <c r="P190" s="92">
        <v>289</v>
      </c>
      <c r="Q190" s="103">
        <v>220</v>
      </c>
      <c r="R190" s="93">
        <v>188</v>
      </c>
      <c r="S190" s="92">
        <f t="shared" si="37"/>
        <v>0.22978723404255319</v>
      </c>
      <c r="T190" s="104">
        <f t="shared" si="38"/>
        <v>0.31363636363636366</v>
      </c>
      <c r="U190" s="103">
        <v>7.296999999999997</v>
      </c>
      <c r="V190" s="92">
        <v>289</v>
      </c>
      <c r="W190" s="92">
        <v>220</v>
      </c>
      <c r="X190" s="93">
        <v>188</v>
      </c>
      <c r="Y190" s="92">
        <v>0.22978723404255319</v>
      </c>
      <c r="Z190" s="80">
        <v>0.31363636363636366</v>
      </c>
      <c r="AA190" s="105">
        <f>(V190-X190)/X190</f>
        <v>0.53723404255319152</v>
      </c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</row>
    <row r="191" spans="1:43" x14ac:dyDescent="0.3">
      <c r="A191" s="102">
        <v>234</v>
      </c>
      <c r="B191" s="103">
        <v>1.3910000000000018</v>
      </c>
      <c r="C191" s="93">
        <v>234</v>
      </c>
      <c r="D191" s="103">
        <v>1.3910000000000018</v>
      </c>
      <c r="E191" s="93"/>
      <c r="F191" s="104"/>
      <c r="G191" s="80"/>
      <c r="H191" s="102"/>
      <c r="I191" s="80"/>
      <c r="J191" s="102"/>
      <c r="K191" s="80"/>
      <c r="L191" s="93"/>
      <c r="M191" s="104"/>
      <c r="N191" s="80"/>
      <c r="O191" s="91">
        <v>6.625</v>
      </c>
      <c r="P191" s="92">
        <v>287</v>
      </c>
      <c r="Q191" s="103">
        <v>214</v>
      </c>
      <c r="R191" s="93">
        <v>204</v>
      </c>
      <c r="S191" s="92">
        <f t="shared" si="37"/>
        <v>0.2264957264957265</v>
      </c>
      <c r="T191" s="104">
        <f t="shared" si="38"/>
        <v>0.34112149532710279</v>
      </c>
      <c r="U191" s="103">
        <v>6.625</v>
      </c>
      <c r="V191" s="80">
        <v>287</v>
      </c>
      <c r="W191" s="92">
        <v>214</v>
      </c>
      <c r="X191" s="93">
        <v>204</v>
      </c>
      <c r="Y191" s="92">
        <v>0.2264957264957265</v>
      </c>
      <c r="Z191" s="80">
        <v>0.34112149532710279</v>
      </c>
      <c r="AA191" s="105">
        <f>(V191-X191)/X191</f>
        <v>0.40686274509803921</v>
      </c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</row>
    <row r="192" spans="1:43" x14ac:dyDescent="0.3">
      <c r="A192" s="102">
        <v>236</v>
      </c>
      <c r="B192" s="103">
        <v>1.0319999999999965</v>
      </c>
      <c r="C192" s="93">
        <v>236</v>
      </c>
      <c r="D192" s="103">
        <v>1.0319999999999965</v>
      </c>
      <c r="E192" s="93"/>
      <c r="F192" s="104"/>
      <c r="G192" s="80"/>
      <c r="H192" s="102"/>
      <c r="I192" s="80"/>
      <c r="J192" s="102"/>
      <c r="K192" s="80"/>
      <c r="L192" s="93"/>
      <c r="M192" s="104"/>
      <c r="N192" s="80"/>
      <c r="O192" s="91">
        <v>6.4839999999999947</v>
      </c>
      <c r="P192" s="92">
        <v>301</v>
      </c>
      <c r="Q192" s="103">
        <v>236</v>
      </c>
      <c r="R192" s="93">
        <v>201</v>
      </c>
      <c r="S192" s="92">
        <f t="shared" si="37"/>
        <v>0.27542372881355931</v>
      </c>
      <c r="T192" s="104">
        <f t="shared" si="38"/>
        <v>0.27542372881355931</v>
      </c>
      <c r="U192" s="103">
        <v>6.4839999999999947</v>
      </c>
      <c r="V192" s="92">
        <v>301</v>
      </c>
      <c r="W192" s="92">
        <v>236</v>
      </c>
      <c r="X192" s="93">
        <v>201</v>
      </c>
      <c r="Y192" s="92">
        <v>0.27542372881355931</v>
      </c>
      <c r="Z192" s="80">
        <v>0.27542372881355931</v>
      </c>
      <c r="AA192" s="105">
        <f t="shared" ref="AA192:AA198" si="46">(V192-X192)/X192</f>
        <v>0.49751243781094528</v>
      </c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0"/>
    </row>
    <row r="193" spans="1:43" x14ac:dyDescent="0.3">
      <c r="A193" s="102">
        <v>271</v>
      </c>
      <c r="B193" s="103">
        <v>2.8120000000000047</v>
      </c>
      <c r="C193" s="93">
        <v>271</v>
      </c>
      <c r="D193" s="103">
        <v>2.8120000000000047</v>
      </c>
      <c r="E193" s="93"/>
      <c r="F193" s="104"/>
      <c r="G193" s="80"/>
      <c r="H193" s="102"/>
      <c r="I193" s="80"/>
      <c r="J193" s="102"/>
      <c r="K193" s="80"/>
      <c r="L193" s="93"/>
      <c r="M193" s="104"/>
      <c r="N193" s="80"/>
      <c r="O193" s="91">
        <v>6.5630000000000024</v>
      </c>
      <c r="P193" s="92">
        <v>305</v>
      </c>
      <c r="Q193" s="103">
        <v>247</v>
      </c>
      <c r="R193" s="93">
        <v>194</v>
      </c>
      <c r="S193" s="92">
        <f t="shared" si="37"/>
        <v>0.12546125461254612</v>
      </c>
      <c r="T193" s="104">
        <f t="shared" si="38"/>
        <v>0.23481781376518218</v>
      </c>
      <c r="U193" s="103">
        <v>6.5630000000000024</v>
      </c>
      <c r="V193" s="92">
        <v>305</v>
      </c>
      <c r="W193" s="92">
        <v>247</v>
      </c>
      <c r="X193" s="93">
        <v>194</v>
      </c>
      <c r="Y193" s="92">
        <v>0.12546125461254612</v>
      </c>
      <c r="Z193" s="80">
        <v>0.23481781376518218</v>
      </c>
      <c r="AA193" s="105">
        <f t="shared" si="46"/>
        <v>0.57216494845360821</v>
      </c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</row>
    <row r="194" spans="1:43" x14ac:dyDescent="0.3">
      <c r="A194" s="102">
        <v>241</v>
      </c>
      <c r="B194" s="103">
        <v>1.25</v>
      </c>
      <c r="C194" s="93">
        <v>241</v>
      </c>
      <c r="D194" s="103">
        <v>1.25</v>
      </c>
      <c r="E194" s="93"/>
      <c r="F194" s="104"/>
      <c r="G194" s="80"/>
      <c r="H194" s="102"/>
      <c r="I194" s="80"/>
      <c r="J194" s="102"/>
      <c r="K194" s="80"/>
      <c r="L194" s="93"/>
      <c r="M194" s="104"/>
      <c r="N194" s="80"/>
      <c r="O194" s="91">
        <v>6.7180000000000035</v>
      </c>
      <c r="P194" s="92">
        <v>280</v>
      </c>
      <c r="Q194" s="103">
        <v>221</v>
      </c>
      <c r="R194" s="93">
        <v>194</v>
      </c>
      <c r="S194" s="92">
        <f t="shared" si="37"/>
        <v>0.16182572614107885</v>
      </c>
      <c r="T194" s="104">
        <f t="shared" si="38"/>
        <v>0.2669683257918552</v>
      </c>
      <c r="U194" s="103">
        <v>6.7180000000000035</v>
      </c>
      <c r="V194" s="92">
        <v>280</v>
      </c>
      <c r="W194" s="92">
        <v>221</v>
      </c>
      <c r="X194" s="93">
        <v>194</v>
      </c>
      <c r="Y194" s="92">
        <v>0.16182572614107885</v>
      </c>
      <c r="Z194" s="80">
        <v>0.2669683257918552</v>
      </c>
      <c r="AA194" s="105">
        <f t="shared" si="46"/>
        <v>0.44329896907216493</v>
      </c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</row>
    <row r="195" spans="1:43" x14ac:dyDescent="0.3">
      <c r="A195" s="102">
        <v>227</v>
      </c>
      <c r="B195" s="103">
        <v>0.92199999999999704</v>
      </c>
      <c r="C195" s="93">
        <v>227</v>
      </c>
      <c r="D195" s="103">
        <v>0.92199999999999704</v>
      </c>
      <c r="E195" s="93"/>
      <c r="F195" s="104"/>
      <c r="G195" s="80"/>
      <c r="H195" s="102"/>
      <c r="I195" s="80"/>
      <c r="J195" s="102"/>
      <c r="K195" s="80"/>
      <c r="L195" s="93"/>
      <c r="M195" s="104"/>
      <c r="N195" s="80"/>
      <c r="O195" s="91">
        <v>6.2349999999999994</v>
      </c>
      <c r="P195" s="92">
        <v>254</v>
      </c>
      <c r="Q195" s="103">
        <v>217</v>
      </c>
      <c r="R195" s="93">
        <v>198</v>
      </c>
      <c r="S195" s="92">
        <f t="shared" si="37"/>
        <v>0.11894273127753303</v>
      </c>
      <c r="T195" s="104">
        <f t="shared" si="38"/>
        <v>0.17050691244239632</v>
      </c>
      <c r="U195" s="103">
        <v>6.2349999999999994</v>
      </c>
      <c r="V195" s="92">
        <v>254</v>
      </c>
      <c r="W195" s="92">
        <v>217</v>
      </c>
      <c r="X195" s="93">
        <v>198</v>
      </c>
      <c r="Y195" s="92">
        <v>0.11894273127753303</v>
      </c>
      <c r="Z195" s="80">
        <v>0.17050691244239632</v>
      </c>
      <c r="AA195" s="105">
        <f t="shared" si="46"/>
        <v>0.28282828282828282</v>
      </c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  <c r="AQ195" s="80"/>
    </row>
    <row r="196" spans="1:43" x14ac:dyDescent="0.3">
      <c r="A196" s="102">
        <v>275</v>
      </c>
      <c r="B196" s="103">
        <v>3.3440000000000012</v>
      </c>
      <c r="C196" s="93">
        <v>275</v>
      </c>
      <c r="D196" s="103">
        <v>3.3440000000000012</v>
      </c>
      <c r="E196" s="93"/>
      <c r="F196" s="104"/>
      <c r="G196" s="80"/>
      <c r="H196" s="102"/>
      <c r="I196" s="80"/>
      <c r="J196" s="102"/>
      <c r="K196" s="80"/>
      <c r="L196" s="93"/>
      <c r="M196" s="104"/>
      <c r="N196" s="80"/>
      <c r="O196" s="91">
        <v>6.0930000000000035</v>
      </c>
      <c r="P196" s="92">
        <v>316</v>
      </c>
      <c r="Q196" s="103">
        <v>270</v>
      </c>
      <c r="R196" s="93">
        <v>237</v>
      </c>
      <c r="S196" s="92">
        <f t="shared" si="37"/>
        <v>0.14909090909090908</v>
      </c>
      <c r="T196" s="104">
        <f t="shared" si="38"/>
        <v>0.17037037037037037</v>
      </c>
      <c r="U196" s="103">
        <v>6.0930000000000035</v>
      </c>
      <c r="V196" s="92">
        <v>316</v>
      </c>
      <c r="W196" s="92">
        <v>270</v>
      </c>
      <c r="X196" s="93">
        <v>237</v>
      </c>
      <c r="Y196" s="92">
        <v>0.14909090909090908</v>
      </c>
      <c r="Z196" s="80">
        <v>0.17037037037037037</v>
      </c>
      <c r="AA196" s="105">
        <f t="shared" si="46"/>
        <v>0.33333333333333331</v>
      </c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  <c r="AQ196" s="80"/>
    </row>
    <row r="197" spans="1:43" x14ac:dyDescent="0.3">
      <c r="A197" s="102">
        <v>232</v>
      </c>
      <c r="B197" s="103">
        <v>1.7809999999999988</v>
      </c>
      <c r="C197" s="93">
        <v>232</v>
      </c>
      <c r="D197" s="103">
        <v>1.7809999999999988</v>
      </c>
      <c r="E197" s="93"/>
      <c r="F197" s="104"/>
      <c r="G197" s="80"/>
      <c r="H197" s="102"/>
      <c r="I197" s="80"/>
      <c r="J197" s="102"/>
      <c r="K197" s="80"/>
      <c r="L197" s="93"/>
      <c r="M197" s="104"/>
      <c r="N197" s="80"/>
      <c r="O197" s="91">
        <v>6.546999999999997</v>
      </c>
      <c r="P197" s="92">
        <v>278</v>
      </c>
      <c r="Q197" s="103">
        <v>207</v>
      </c>
      <c r="R197" s="93">
        <v>176</v>
      </c>
      <c r="S197" s="92">
        <f t="shared" si="37"/>
        <v>0.19827586206896552</v>
      </c>
      <c r="T197" s="104">
        <f t="shared" si="38"/>
        <v>0.34299516908212563</v>
      </c>
      <c r="U197" s="103">
        <v>6.546999999999997</v>
      </c>
      <c r="V197" s="92">
        <v>278</v>
      </c>
      <c r="W197" s="92">
        <v>207</v>
      </c>
      <c r="X197" s="93">
        <v>176</v>
      </c>
      <c r="Y197" s="92">
        <v>0.19827586206896552</v>
      </c>
      <c r="Z197" s="80">
        <v>0.34299516908212563</v>
      </c>
      <c r="AA197" s="105">
        <f t="shared" si="46"/>
        <v>0.57954545454545459</v>
      </c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  <c r="AQ197" s="80"/>
    </row>
    <row r="198" spans="1:43" x14ac:dyDescent="0.3">
      <c r="A198" s="102">
        <v>222</v>
      </c>
      <c r="B198" s="103">
        <v>1.3909999999999982</v>
      </c>
      <c r="C198" s="93">
        <v>222</v>
      </c>
      <c r="D198" s="103">
        <v>1.3909999999999982</v>
      </c>
      <c r="E198" s="93"/>
      <c r="F198" s="104"/>
      <c r="G198" s="80"/>
      <c r="H198" s="102"/>
      <c r="I198" s="80"/>
      <c r="J198" s="102"/>
      <c r="K198" s="80"/>
      <c r="L198" s="93"/>
      <c r="M198" s="104"/>
      <c r="N198" s="80"/>
      <c r="O198" s="91">
        <v>6.328000000000003</v>
      </c>
      <c r="P198" s="92">
        <v>240</v>
      </c>
      <c r="Q198" s="103">
        <v>208</v>
      </c>
      <c r="R198" s="93">
        <v>167</v>
      </c>
      <c r="S198" s="92">
        <f t="shared" si="37"/>
        <v>8.1081081081081086E-2</v>
      </c>
      <c r="T198" s="104">
        <f t="shared" si="38"/>
        <v>0.15384615384615385</v>
      </c>
      <c r="U198" s="103">
        <v>6.328000000000003</v>
      </c>
      <c r="V198" s="92">
        <v>240</v>
      </c>
      <c r="W198" s="92">
        <v>208</v>
      </c>
      <c r="X198" s="93">
        <v>167</v>
      </c>
      <c r="Y198" s="92">
        <v>8.1081081081081086E-2</v>
      </c>
      <c r="Z198" s="80">
        <v>0.15384615384615385</v>
      </c>
      <c r="AA198" s="105">
        <f t="shared" si="46"/>
        <v>0.43712574850299402</v>
      </c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</row>
    <row r="199" spans="1:43" x14ac:dyDescent="0.3">
      <c r="A199" s="102">
        <v>239</v>
      </c>
      <c r="B199" s="103">
        <v>2.5</v>
      </c>
      <c r="C199" s="93">
        <v>239</v>
      </c>
      <c r="D199" s="103">
        <v>2.5</v>
      </c>
      <c r="E199" s="93"/>
      <c r="F199" s="104"/>
      <c r="G199" s="80"/>
      <c r="H199" s="102"/>
      <c r="I199" s="80"/>
      <c r="J199" s="102"/>
      <c r="K199" s="80"/>
      <c r="L199" s="93"/>
      <c r="M199" s="104"/>
      <c r="N199" s="80"/>
      <c r="O199" s="91">
        <v>5.4849999999999994</v>
      </c>
      <c r="P199" s="92">
        <v>278</v>
      </c>
      <c r="Q199" s="103">
        <v>220</v>
      </c>
      <c r="R199" s="93">
        <v>207</v>
      </c>
      <c r="S199" s="92">
        <f t="shared" si="37"/>
        <v>0.16317991631799164</v>
      </c>
      <c r="T199" s="104">
        <f t="shared" si="38"/>
        <v>0.26363636363636361</v>
      </c>
      <c r="U199" s="103">
        <v>5.4849999999999994</v>
      </c>
      <c r="V199" s="92">
        <v>278</v>
      </c>
      <c r="W199" s="92">
        <v>220</v>
      </c>
      <c r="X199" s="93">
        <v>207</v>
      </c>
      <c r="Y199" s="92">
        <v>0.16317991631799164</v>
      </c>
      <c r="Z199" s="80">
        <v>0.26363636363636361</v>
      </c>
      <c r="AA199" s="105">
        <f>(V199-X199)/X199</f>
        <v>0.34299516908212563</v>
      </c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</row>
    <row r="200" spans="1:43" x14ac:dyDescent="0.3">
      <c r="A200" s="102">
        <v>242</v>
      </c>
      <c r="B200" s="103">
        <v>2.6409999999999982</v>
      </c>
      <c r="C200" s="93">
        <v>242</v>
      </c>
      <c r="D200" s="103">
        <v>2.6409999999999982</v>
      </c>
      <c r="E200" s="93"/>
      <c r="F200" s="104"/>
      <c r="G200" s="80"/>
      <c r="H200" s="102"/>
      <c r="I200" s="80"/>
      <c r="J200" s="102"/>
      <c r="K200" s="80"/>
      <c r="L200" s="93"/>
      <c r="M200" s="104"/>
      <c r="N200" s="80"/>
      <c r="O200" s="91">
        <v>5.25</v>
      </c>
      <c r="P200" s="92">
        <v>286</v>
      </c>
      <c r="Q200" s="103">
        <v>220</v>
      </c>
      <c r="R200" s="93">
        <v>193</v>
      </c>
      <c r="S200" s="92">
        <f t="shared" si="37"/>
        <v>0.18181818181818182</v>
      </c>
      <c r="T200" s="104">
        <f t="shared" si="38"/>
        <v>0.3</v>
      </c>
      <c r="U200" s="103">
        <v>5.25</v>
      </c>
      <c r="V200" s="92">
        <v>286</v>
      </c>
      <c r="W200" s="92">
        <v>220</v>
      </c>
      <c r="X200" s="93">
        <v>193</v>
      </c>
      <c r="Y200" s="92">
        <v>0.18181818181818182</v>
      </c>
      <c r="Z200" s="80">
        <v>0.3</v>
      </c>
      <c r="AA200" s="105">
        <f>(V200-X200)/X200</f>
        <v>0.48186528497409326</v>
      </c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</row>
    <row r="201" spans="1:43" x14ac:dyDescent="0.3">
      <c r="A201" s="102">
        <v>273</v>
      </c>
      <c r="B201" s="103">
        <v>5.8430000000000035</v>
      </c>
      <c r="C201" s="93">
        <v>273</v>
      </c>
      <c r="D201" s="103">
        <v>5.8430000000000035</v>
      </c>
      <c r="E201" s="93"/>
      <c r="F201" s="104"/>
      <c r="G201" s="80"/>
      <c r="H201" s="102"/>
      <c r="I201" s="80"/>
      <c r="J201" s="102"/>
      <c r="K201" s="80"/>
      <c r="L201" s="93"/>
      <c r="M201" s="104"/>
      <c r="N201" s="80"/>
      <c r="O201" s="91">
        <v>6.2029999999999887</v>
      </c>
      <c r="P201" s="92">
        <v>382</v>
      </c>
      <c r="Q201" s="103">
        <v>237</v>
      </c>
      <c r="R201" s="93">
        <v>214</v>
      </c>
      <c r="S201" s="92">
        <f t="shared" si="37"/>
        <v>0.39926739926739929</v>
      </c>
      <c r="T201" s="104">
        <f t="shared" si="38"/>
        <v>0.61181434599156115</v>
      </c>
      <c r="U201" s="103">
        <v>6.2029999999999887</v>
      </c>
      <c r="V201" s="92">
        <v>382</v>
      </c>
      <c r="W201" s="92">
        <v>237</v>
      </c>
      <c r="X201" s="93">
        <v>214</v>
      </c>
      <c r="Y201" s="92">
        <v>0.39926739926739929</v>
      </c>
      <c r="Z201" s="80">
        <v>0.61181434599156115</v>
      </c>
      <c r="AA201" s="105">
        <f t="shared" ref="AA201:AA206" si="47">(V201-X201)/X201</f>
        <v>0.78504672897196259</v>
      </c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  <c r="AQ201" s="80"/>
    </row>
    <row r="202" spans="1:43" x14ac:dyDescent="0.3">
      <c r="A202" s="102">
        <v>248</v>
      </c>
      <c r="B202" s="103">
        <v>1.9380000000000024</v>
      </c>
      <c r="C202" s="93">
        <v>248</v>
      </c>
      <c r="D202" s="103">
        <v>1.9380000000000024</v>
      </c>
      <c r="E202" s="93"/>
      <c r="F202" s="104"/>
      <c r="G202" s="80"/>
      <c r="H202" s="102"/>
      <c r="I202" s="80"/>
      <c r="J202" s="102"/>
      <c r="K202" s="80"/>
      <c r="L202" s="93"/>
      <c r="M202" s="104"/>
      <c r="N202" s="80"/>
      <c r="O202" s="91">
        <v>6.2340000000000089</v>
      </c>
      <c r="P202" s="92">
        <v>288</v>
      </c>
      <c r="Q202" s="103">
        <v>224</v>
      </c>
      <c r="R202" s="93">
        <v>177</v>
      </c>
      <c r="S202" s="92">
        <f t="shared" si="37"/>
        <v>0.16129032258064516</v>
      </c>
      <c r="T202" s="104">
        <f t="shared" si="38"/>
        <v>0.2857142857142857</v>
      </c>
      <c r="U202" s="103">
        <v>6.2340000000000089</v>
      </c>
      <c r="V202" s="92">
        <v>288</v>
      </c>
      <c r="W202" s="92">
        <v>224</v>
      </c>
      <c r="X202" s="93">
        <v>177</v>
      </c>
      <c r="Y202" s="92">
        <v>0.16129032258064516</v>
      </c>
      <c r="Z202" s="80">
        <v>0.2857142857142857</v>
      </c>
      <c r="AA202" s="105">
        <f t="shared" si="47"/>
        <v>0.6271186440677966</v>
      </c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</row>
    <row r="203" spans="1:43" x14ac:dyDescent="0.3">
      <c r="A203" s="102">
        <v>256</v>
      </c>
      <c r="B203" s="103">
        <v>6.2029999999999959</v>
      </c>
      <c r="C203" s="93">
        <v>256</v>
      </c>
      <c r="D203" s="103">
        <v>6.2029999999999959</v>
      </c>
      <c r="E203" s="93"/>
      <c r="F203" s="104"/>
      <c r="G203" s="80"/>
      <c r="H203" s="102"/>
      <c r="I203" s="80"/>
      <c r="J203" s="102"/>
      <c r="K203" s="80"/>
      <c r="L203" s="93"/>
      <c r="M203" s="104"/>
      <c r="N203" s="80"/>
      <c r="O203" s="91">
        <v>6.125</v>
      </c>
      <c r="P203" s="92">
        <v>308</v>
      </c>
      <c r="Q203" s="103">
        <v>235</v>
      </c>
      <c r="R203" s="93">
        <v>211</v>
      </c>
      <c r="S203" s="92">
        <f t="shared" si="37"/>
        <v>0.203125</v>
      </c>
      <c r="T203" s="104">
        <f t="shared" si="38"/>
        <v>0.31063829787234043</v>
      </c>
      <c r="U203" s="103">
        <v>6.125</v>
      </c>
      <c r="V203" s="92">
        <v>308</v>
      </c>
      <c r="W203" s="92">
        <v>235</v>
      </c>
      <c r="X203" s="93">
        <v>211</v>
      </c>
      <c r="Y203" s="92">
        <v>0.203125</v>
      </c>
      <c r="Z203" s="80">
        <v>0.31063829787234043</v>
      </c>
      <c r="AA203" s="105">
        <f t="shared" si="47"/>
        <v>0.45971563981042651</v>
      </c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</row>
    <row r="204" spans="1:43" x14ac:dyDescent="0.3">
      <c r="A204" s="102">
        <v>238</v>
      </c>
      <c r="B204" s="103">
        <v>1.5320000000000036</v>
      </c>
      <c r="C204" s="93">
        <v>238</v>
      </c>
      <c r="D204" s="103">
        <v>1.5320000000000036</v>
      </c>
      <c r="E204" s="93"/>
      <c r="F204" s="104"/>
      <c r="G204" s="80"/>
      <c r="H204" s="102"/>
      <c r="I204" s="80"/>
      <c r="J204" s="102"/>
      <c r="K204" s="80"/>
      <c r="L204" s="93"/>
      <c r="M204" s="104"/>
      <c r="N204" s="80"/>
      <c r="O204" s="91">
        <v>6.046999999999997</v>
      </c>
      <c r="P204" s="92">
        <v>284</v>
      </c>
      <c r="Q204" s="103">
        <v>234</v>
      </c>
      <c r="R204" s="93">
        <v>186</v>
      </c>
      <c r="S204" s="92">
        <f t="shared" si="37"/>
        <v>0.19327731092436976</v>
      </c>
      <c r="T204" s="104">
        <f t="shared" si="38"/>
        <v>0.21367521367521367</v>
      </c>
      <c r="U204" s="103">
        <v>6.046999999999997</v>
      </c>
      <c r="V204" s="92">
        <v>284</v>
      </c>
      <c r="W204" s="92">
        <v>234</v>
      </c>
      <c r="X204" s="93">
        <v>186</v>
      </c>
      <c r="Y204" s="92">
        <v>0.19327731092436976</v>
      </c>
      <c r="Z204" s="80">
        <v>0.21367521367521367</v>
      </c>
      <c r="AA204" s="105">
        <f t="shared" si="47"/>
        <v>0.5268817204301075</v>
      </c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</row>
    <row r="205" spans="1:43" x14ac:dyDescent="0.3">
      <c r="A205" s="102">
        <v>265</v>
      </c>
      <c r="B205" s="103">
        <v>2.2809999999999917</v>
      </c>
      <c r="C205" s="93">
        <v>265</v>
      </c>
      <c r="D205" s="103">
        <v>2.2809999999999917</v>
      </c>
      <c r="E205" s="93"/>
      <c r="F205" s="104"/>
      <c r="G205" s="80"/>
      <c r="H205" s="102"/>
      <c r="I205" s="80"/>
      <c r="J205" s="102"/>
      <c r="K205" s="80"/>
      <c r="L205" s="93"/>
      <c r="M205" s="104"/>
      <c r="N205" s="80"/>
      <c r="O205" s="91">
        <v>6.3909999999999911</v>
      </c>
      <c r="P205" s="92">
        <v>329</v>
      </c>
      <c r="Q205" s="103">
        <v>242</v>
      </c>
      <c r="R205" s="93">
        <v>203</v>
      </c>
      <c r="S205" s="92">
        <f t="shared" si="37"/>
        <v>0.24150943396226415</v>
      </c>
      <c r="T205" s="104">
        <f t="shared" si="38"/>
        <v>0.35950413223140498</v>
      </c>
      <c r="U205" s="103">
        <v>6.3909999999999911</v>
      </c>
      <c r="V205" s="92">
        <v>329</v>
      </c>
      <c r="W205" s="92">
        <v>242</v>
      </c>
      <c r="X205" s="93">
        <v>203</v>
      </c>
      <c r="Y205" s="92">
        <v>0.24150943396226415</v>
      </c>
      <c r="Z205" s="80">
        <v>0.35950413223140498</v>
      </c>
      <c r="AA205" s="105">
        <f t="shared" si="47"/>
        <v>0.62068965517241381</v>
      </c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</row>
    <row r="206" spans="1:43" x14ac:dyDescent="0.3">
      <c r="A206" s="102">
        <v>248</v>
      </c>
      <c r="B206" s="103">
        <v>2.1400000000000006</v>
      </c>
      <c r="C206" s="93">
        <v>248</v>
      </c>
      <c r="D206" s="103">
        <v>2.1400000000000006</v>
      </c>
      <c r="E206" s="93"/>
      <c r="F206" s="104"/>
      <c r="G206" s="80"/>
      <c r="H206" s="102"/>
      <c r="I206" s="80"/>
      <c r="J206" s="102"/>
      <c r="K206" s="80"/>
      <c r="L206" s="93"/>
      <c r="M206" s="104"/>
      <c r="N206" s="80"/>
      <c r="O206" s="91">
        <v>6.5620000000000118</v>
      </c>
      <c r="P206" s="92">
        <v>341</v>
      </c>
      <c r="Q206" s="103">
        <v>220</v>
      </c>
      <c r="R206" s="93">
        <v>220</v>
      </c>
      <c r="S206" s="92">
        <f t="shared" si="37"/>
        <v>0.375</v>
      </c>
      <c r="T206" s="104">
        <f t="shared" si="38"/>
        <v>0.55000000000000004</v>
      </c>
      <c r="U206" s="103">
        <v>6.5620000000000118</v>
      </c>
      <c r="V206" s="92">
        <v>341</v>
      </c>
      <c r="W206" s="92">
        <v>220</v>
      </c>
      <c r="X206" s="93">
        <v>220</v>
      </c>
      <c r="Y206" s="92">
        <v>0.375</v>
      </c>
      <c r="Z206" s="80">
        <v>0.55000000000000004</v>
      </c>
      <c r="AA206" s="105">
        <f t="shared" si="47"/>
        <v>0.55000000000000004</v>
      </c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</row>
    <row r="207" spans="1:43" x14ac:dyDescent="0.3">
      <c r="A207" s="102">
        <v>228</v>
      </c>
      <c r="B207" s="103">
        <v>1.2820000000000107</v>
      </c>
      <c r="C207" s="93">
        <v>228</v>
      </c>
      <c r="D207" s="103">
        <v>1.2820000000000107</v>
      </c>
      <c r="E207" s="93"/>
      <c r="F207" s="104"/>
      <c r="G207" s="80"/>
      <c r="H207" s="102"/>
      <c r="I207" s="80"/>
      <c r="J207" s="102"/>
      <c r="K207" s="80"/>
      <c r="L207" s="93"/>
      <c r="M207" s="104"/>
      <c r="N207" s="80"/>
      <c r="O207" s="91">
        <v>6.1100000000000136</v>
      </c>
      <c r="P207" s="92">
        <v>258</v>
      </c>
      <c r="Q207" s="103">
        <v>213</v>
      </c>
      <c r="R207" s="93">
        <v>199</v>
      </c>
      <c r="S207" s="92">
        <f t="shared" si="37"/>
        <v>0.13157894736842105</v>
      </c>
      <c r="T207" s="104">
        <f t="shared" si="38"/>
        <v>0.21126760563380281</v>
      </c>
      <c r="U207" s="103">
        <v>6.1100000000000136</v>
      </c>
      <c r="V207" s="92">
        <v>258</v>
      </c>
      <c r="W207" s="92">
        <v>213</v>
      </c>
      <c r="X207" s="93">
        <v>199</v>
      </c>
      <c r="Y207" s="92">
        <v>0.13157894736842105</v>
      </c>
      <c r="Z207" s="80">
        <v>0.21126760563380281</v>
      </c>
      <c r="AA207" s="105">
        <f>(V207-X207)/X207</f>
        <v>0.29648241206030151</v>
      </c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  <c r="AQ207" s="80"/>
    </row>
    <row r="208" spans="1:43" x14ac:dyDescent="0.3">
      <c r="A208" s="102">
        <v>208</v>
      </c>
      <c r="B208" s="103">
        <v>1.6569999999999965</v>
      </c>
      <c r="C208" s="93">
        <v>208</v>
      </c>
      <c r="D208" s="103">
        <v>1.6569999999999965</v>
      </c>
      <c r="E208" s="93"/>
      <c r="F208" s="104"/>
      <c r="G208" s="80"/>
      <c r="H208" s="102"/>
      <c r="I208" s="80"/>
      <c r="J208" s="102"/>
      <c r="K208" s="80"/>
      <c r="L208" s="93"/>
      <c r="M208" s="104"/>
      <c r="N208" s="80"/>
      <c r="O208" s="91">
        <v>6.8429999999999893</v>
      </c>
      <c r="P208" s="92">
        <v>249</v>
      </c>
      <c r="Q208" s="103">
        <v>201</v>
      </c>
      <c r="R208" s="93">
        <v>189</v>
      </c>
      <c r="S208" s="92">
        <f t="shared" si="37"/>
        <v>0.19711538461538461</v>
      </c>
      <c r="T208" s="104">
        <f t="shared" si="38"/>
        <v>0.23880597014925373</v>
      </c>
      <c r="U208" s="103">
        <v>6.8429999999999893</v>
      </c>
      <c r="V208" s="92">
        <v>249</v>
      </c>
      <c r="W208" s="92">
        <v>201</v>
      </c>
      <c r="X208" s="93">
        <v>189</v>
      </c>
      <c r="Y208" s="92">
        <v>0.19711538461538461</v>
      </c>
      <c r="Z208" s="80">
        <v>0.23880597014925373</v>
      </c>
      <c r="AA208" s="105">
        <f>(V208-X208)/X208</f>
        <v>0.31746031746031744</v>
      </c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  <c r="AQ208" s="80"/>
    </row>
    <row r="209" spans="1:43" ht="15" thickBot="1" x14ac:dyDescent="0.35">
      <c r="A209" s="106">
        <v>235</v>
      </c>
      <c r="B209" s="109">
        <v>1.8430000000000035</v>
      </c>
      <c r="C209" s="110">
        <v>235</v>
      </c>
      <c r="D209" s="109">
        <v>1.8430000000000035</v>
      </c>
      <c r="E209" s="110"/>
      <c r="F209" s="108"/>
      <c r="G209" s="111"/>
      <c r="H209" s="106"/>
      <c r="I209" s="107"/>
      <c r="J209" s="106"/>
      <c r="K209" s="107"/>
      <c r="L209" s="110"/>
      <c r="M209" s="108"/>
      <c r="N209" s="111"/>
      <c r="O209" s="112">
        <v>6.4540000000000077</v>
      </c>
      <c r="P209" s="113">
        <v>266</v>
      </c>
      <c r="Q209" s="109">
        <v>235</v>
      </c>
      <c r="R209" s="110">
        <v>222</v>
      </c>
      <c r="S209" s="116">
        <f t="shared" si="37"/>
        <v>0.13191489361702127</v>
      </c>
      <c r="T209" s="108">
        <f t="shared" si="38"/>
        <v>0.13191489361702127</v>
      </c>
      <c r="U209" s="109">
        <v>6.4540000000000077</v>
      </c>
      <c r="V209" s="113">
        <v>266</v>
      </c>
      <c r="W209" s="113">
        <v>235</v>
      </c>
      <c r="X209" s="110">
        <v>222</v>
      </c>
      <c r="Y209" s="113">
        <v>0.13191489361702127</v>
      </c>
      <c r="Z209" s="107">
        <v>0.13191489361702127</v>
      </c>
      <c r="AA209" s="114">
        <f>(V209-X209)/X209</f>
        <v>0.1981981981981982</v>
      </c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</row>
    <row r="210" spans="1:43" x14ac:dyDescent="0.3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  <c r="AQ210" s="80"/>
    </row>
    <row r="211" spans="1:43" x14ac:dyDescent="0.3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  <c r="AQ211" s="80"/>
    </row>
    <row r="212" spans="1:43" x14ac:dyDescent="0.3">
      <c r="A212" s="80">
        <f>AVERAGE(A180:A209)</f>
        <v>243.56666666666666</v>
      </c>
      <c r="B212" s="80"/>
      <c r="C212" s="80"/>
      <c r="D212" s="80">
        <f>AVERAGE(D180:D209)</f>
        <v>2.3750333333333336</v>
      </c>
      <c r="E212" s="80" t="s">
        <v>17</v>
      </c>
      <c r="F212" s="80"/>
      <c r="G212" s="80"/>
      <c r="H212" s="80" t="e">
        <f>AVERAGE(H180:H209)</f>
        <v>#DIV/0!</v>
      </c>
      <c r="I212" s="80"/>
      <c r="J212" s="80" t="e">
        <f>AVERAGE(J180:J209)</f>
        <v>#DIV/0!</v>
      </c>
      <c r="K212" s="80" t="s">
        <v>17</v>
      </c>
      <c r="L212" s="80"/>
      <c r="M212" s="80"/>
      <c r="N212" s="80"/>
      <c r="O212" s="80">
        <f>AVERAGE(O180:O209)</f>
        <v>6.1344000000000003</v>
      </c>
      <c r="P212" s="80"/>
      <c r="Q212" s="80"/>
      <c r="R212" s="80"/>
      <c r="S212" s="80"/>
      <c r="T212" s="80"/>
      <c r="U212" s="80">
        <f>AVERAGE(U180:U209)</f>
        <v>6.1344000000000003</v>
      </c>
      <c r="V212" s="80" t="s">
        <v>17</v>
      </c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</row>
    <row r="213" spans="1:43" x14ac:dyDescent="0.3">
      <c r="A213" s="80"/>
      <c r="B213" s="80"/>
      <c r="C213" s="80"/>
      <c r="D213" s="80">
        <f>_xlfn.STDEV.S(D180:D209)</f>
        <v>1.4187879597433302</v>
      </c>
      <c r="E213" s="79">
        <f>D213/D212</f>
        <v>0.59737601987761435</v>
      </c>
      <c r="F213" s="80"/>
      <c r="G213" s="80"/>
      <c r="H213" s="80"/>
      <c r="I213" s="80"/>
      <c r="J213" s="80" t="e">
        <f>_xlfn.STDEV.S(J180:J209)</f>
        <v>#DIV/0!</v>
      </c>
      <c r="K213" s="79" t="e">
        <f>J213/J212</f>
        <v>#DIV/0!</v>
      </c>
      <c r="L213" s="80"/>
      <c r="M213" s="80"/>
      <c r="N213" s="80"/>
      <c r="O213" s="80"/>
      <c r="P213" s="80"/>
      <c r="Q213" s="80"/>
      <c r="R213" s="80"/>
      <c r="S213" s="80"/>
      <c r="T213" s="80"/>
      <c r="U213" s="80">
        <f>_xlfn.STDEV.S(U180:U209)</f>
        <v>0.57236885864346909</v>
      </c>
      <c r="V213" s="79">
        <f>U213/U212</f>
        <v>9.3304782642714704E-2</v>
      </c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</row>
    <row r="214" spans="1:43" x14ac:dyDescent="0.3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</row>
    <row r="215" spans="1:43" x14ac:dyDescent="0.3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</row>
    <row r="216" spans="1:43" x14ac:dyDescent="0.3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  <c r="AQ216" s="80"/>
    </row>
    <row r="217" spans="1:43" x14ac:dyDescent="0.3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</row>
    <row r="218" spans="1:43" x14ac:dyDescent="0.3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</row>
    <row r="219" spans="1:43" x14ac:dyDescent="0.3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  <c r="AQ219" s="80"/>
    </row>
    <row r="220" spans="1:43" x14ac:dyDescent="0.3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  <c r="AQ220" s="80"/>
    </row>
    <row r="221" spans="1:43" x14ac:dyDescent="0.3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  <c r="AQ221" s="80"/>
    </row>
    <row r="222" spans="1:43" x14ac:dyDescent="0.3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  <c r="AQ222" s="80"/>
    </row>
    <row r="223" spans="1:43" x14ac:dyDescent="0.3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80"/>
      <c r="AO223" s="80"/>
      <c r="AP223" s="80"/>
      <c r="AQ223" s="80"/>
    </row>
    <row r="224" spans="1:43" x14ac:dyDescent="0.3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80"/>
      <c r="AO224" s="80"/>
      <c r="AP224" s="80"/>
      <c r="AQ224" s="80"/>
    </row>
    <row r="225" spans="1:43" x14ac:dyDescent="0.3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80"/>
      <c r="AN225" s="80"/>
      <c r="AO225" s="80"/>
      <c r="AP225" s="80"/>
      <c r="AQ225" s="80"/>
    </row>
    <row r="226" spans="1:43" x14ac:dyDescent="0.3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80"/>
      <c r="AN226" s="80"/>
      <c r="AO226" s="80"/>
      <c r="AP226" s="80"/>
      <c r="AQ226" s="80"/>
    </row>
    <row r="227" spans="1:43" x14ac:dyDescent="0.3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80"/>
      <c r="AN227" s="80"/>
      <c r="AO227" s="80"/>
      <c r="AP227" s="80"/>
      <c r="AQ227" s="80"/>
    </row>
    <row r="228" spans="1:43" x14ac:dyDescent="0.3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80"/>
      <c r="AN228" s="80"/>
      <c r="AO228" s="80"/>
      <c r="AP228" s="80"/>
      <c r="AQ228" s="80"/>
    </row>
    <row r="229" spans="1:43" x14ac:dyDescent="0.3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  <c r="AL229" s="80"/>
      <c r="AM229" s="80"/>
      <c r="AN229" s="80"/>
      <c r="AO229" s="80"/>
      <c r="AP229" s="80"/>
      <c r="AQ229" s="80"/>
    </row>
    <row r="230" spans="1:43" x14ac:dyDescent="0.3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0"/>
      <c r="AL230" s="80"/>
      <c r="AM230" s="80"/>
      <c r="AN230" s="80"/>
      <c r="AO230" s="80"/>
      <c r="AP230" s="80"/>
      <c r="AQ230" s="80"/>
    </row>
    <row r="231" spans="1:43" x14ac:dyDescent="0.3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0"/>
      <c r="AL231" s="80"/>
      <c r="AM231" s="80"/>
      <c r="AN231" s="80"/>
      <c r="AO231" s="80"/>
      <c r="AP231" s="80"/>
      <c r="AQ231" s="80"/>
    </row>
    <row r="232" spans="1:43" x14ac:dyDescent="0.3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80"/>
      <c r="AI232" s="80"/>
      <c r="AJ232" s="80"/>
      <c r="AK232" s="80"/>
      <c r="AL232" s="80"/>
      <c r="AM232" s="80"/>
      <c r="AN232" s="80"/>
      <c r="AO232" s="80"/>
      <c r="AP232" s="80"/>
      <c r="AQ232" s="80"/>
    </row>
    <row r="233" spans="1:43" x14ac:dyDescent="0.3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  <c r="AL233" s="80"/>
      <c r="AM233" s="80"/>
      <c r="AN233" s="80"/>
      <c r="AO233" s="80"/>
      <c r="AP233" s="80"/>
      <c r="AQ233" s="80"/>
    </row>
    <row r="234" spans="1:43" x14ac:dyDescent="0.3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  <c r="AL234" s="80"/>
      <c r="AM234" s="80"/>
      <c r="AN234" s="80"/>
      <c r="AO234" s="80"/>
      <c r="AP234" s="80"/>
      <c r="AQ234" s="80"/>
    </row>
    <row r="235" spans="1:43" x14ac:dyDescent="0.3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0"/>
      <c r="AL235" s="80"/>
      <c r="AM235" s="80"/>
      <c r="AN235" s="80"/>
      <c r="AO235" s="80"/>
      <c r="AP235" s="80"/>
      <c r="AQ235" s="80"/>
    </row>
    <row r="236" spans="1:43" ht="15" thickBot="1" x14ac:dyDescent="0.35">
      <c r="A236" s="79" t="s">
        <v>35</v>
      </c>
      <c r="B236" s="79" t="s">
        <v>36</v>
      </c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80"/>
      <c r="AO236" s="80"/>
      <c r="AP236" s="80"/>
      <c r="AQ236" s="80"/>
    </row>
    <row r="237" spans="1:43" x14ac:dyDescent="0.3">
      <c r="A237" s="123" t="s">
        <v>1</v>
      </c>
      <c r="B237" s="124"/>
      <c r="C237" s="124"/>
      <c r="D237" s="124"/>
      <c r="E237" s="124"/>
      <c r="F237" s="125"/>
      <c r="G237" s="80"/>
      <c r="H237" s="123" t="s">
        <v>2</v>
      </c>
      <c r="I237" s="124"/>
      <c r="J237" s="124"/>
      <c r="K237" s="124"/>
      <c r="L237" s="124"/>
      <c r="M237" s="125"/>
      <c r="N237" s="80"/>
      <c r="O237" s="81" t="s">
        <v>3</v>
      </c>
      <c r="P237" s="82"/>
      <c r="Q237" s="82"/>
      <c r="R237" s="82"/>
      <c r="S237" s="82"/>
      <c r="T237" s="83"/>
      <c r="U237" s="85" t="s">
        <v>12</v>
      </c>
      <c r="V237" s="85"/>
      <c r="W237" s="85"/>
      <c r="X237" s="85"/>
      <c r="Y237" s="85"/>
      <c r="Z237" s="85"/>
      <c r="AA237" s="86"/>
      <c r="AB237" s="80"/>
      <c r="AC237" s="80"/>
      <c r="AD237" s="80"/>
      <c r="AE237" s="80"/>
      <c r="AF237" s="80"/>
      <c r="AG237" s="80"/>
      <c r="AH237" s="80"/>
      <c r="AI237" s="80"/>
      <c r="AJ237" s="80"/>
      <c r="AK237" s="80"/>
      <c r="AL237" s="80"/>
      <c r="AM237" s="80"/>
      <c r="AN237" s="80"/>
      <c r="AO237" s="80"/>
      <c r="AP237" s="80"/>
      <c r="AQ237" s="80"/>
    </row>
    <row r="238" spans="1:43" x14ac:dyDescent="0.3">
      <c r="A238" s="87" t="s">
        <v>11</v>
      </c>
      <c r="B238" s="88"/>
      <c r="C238" s="89" t="s">
        <v>12</v>
      </c>
      <c r="D238" s="88"/>
      <c r="E238" s="89"/>
      <c r="F238" s="90"/>
      <c r="G238" s="80"/>
      <c r="H238" s="87" t="s">
        <v>11</v>
      </c>
      <c r="I238" s="88"/>
      <c r="J238" s="89" t="s">
        <v>12</v>
      </c>
      <c r="K238" s="88"/>
      <c r="L238" s="89"/>
      <c r="M238" s="90"/>
      <c r="N238" s="80"/>
      <c r="O238" s="91" t="s">
        <v>4</v>
      </c>
      <c r="P238" s="92" t="s">
        <v>0</v>
      </c>
      <c r="Q238" s="92" t="s">
        <v>7</v>
      </c>
      <c r="R238" s="93" t="s">
        <v>8</v>
      </c>
      <c r="S238" s="94" t="s">
        <v>9</v>
      </c>
      <c r="T238" s="97" t="s">
        <v>10</v>
      </c>
      <c r="U238" s="115" t="s">
        <v>4</v>
      </c>
      <c r="V238" s="97" t="s">
        <v>0</v>
      </c>
      <c r="W238" s="97" t="s">
        <v>7</v>
      </c>
      <c r="X238" s="98" t="s">
        <v>8</v>
      </c>
      <c r="Y238" s="97" t="s">
        <v>9</v>
      </c>
      <c r="Z238" s="98" t="s">
        <v>10</v>
      </c>
      <c r="AA238" s="95" t="s">
        <v>18</v>
      </c>
      <c r="AB238" s="80"/>
      <c r="AC238" s="80" t="s">
        <v>15</v>
      </c>
      <c r="AD238" s="80">
        <f>SQRT(29)</f>
        <v>5.3851648071345037</v>
      </c>
      <c r="AE238" s="80"/>
      <c r="AF238" s="80"/>
      <c r="AG238" s="80"/>
      <c r="AH238" s="80"/>
      <c r="AI238" s="80"/>
      <c r="AJ238" s="80"/>
      <c r="AK238" s="80"/>
      <c r="AL238" s="80"/>
      <c r="AM238" s="80"/>
      <c r="AN238" s="80"/>
      <c r="AO238" s="80"/>
      <c r="AP238" s="80"/>
      <c r="AQ238" s="80"/>
    </row>
    <row r="239" spans="1:43" ht="15" thickBot="1" x14ac:dyDescent="0.35">
      <c r="A239" s="80">
        <v>426</v>
      </c>
      <c r="B239" s="88">
        <v>70.186999999999998</v>
      </c>
      <c r="C239" s="89"/>
      <c r="D239" s="88"/>
      <c r="E239" s="89"/>
      <c r="F239" s="90"/>
      <c r="G239" s="80"/>
      <c r="H239" s="87"/>
      <c r="I239" s="100"/>
      <c r="J239" s="87"/>
      <c r="K239" s="100"/>
      <c r="L239" s="89"/>
      <c r="M239" s="90"/>
      <c r="N239" s="80"/>
      <c r="O239" s="101">
        <v>58.796999999999997</v>
      </c>
      <c r="P239" s="94">
        <v>517</v>
      </c>
      <c r="Q239" s="88">
        <v>349</v>
      </c>
      <c r="R239" s="89">
        <v>309</v>
      </c>
      <c r="S239" s="94" t="e">
        <f>(P239-C239)/C239</f>
        <v>#DIV/0!</v>
      </c>
      <c r="T239" s="104">
        <f>(P239-Q239)/Q239</f>
        <v>0.48137535816618909</v>
      </c>
      <c r="U239" s="88">
        <v>58.796999999999997</v>
      </c>
      <c r="V239" s="94">
        <v>517</v>
      </c>
      <c r="W239" s="94">
        <v>349</v>
      </c>
      <c r="X239" s="89">
        <v>309</v>
      </c>
      <c r="Y239" s="94">
        <v>2.3354838709677419</v>
      </c>
      <c r="Z239" s="100">
        <v>0.48137535816618909</v>
      </c>
      <c r="AA239" s="95">
        <f>(V239-X239)/X239</f>
        <v>0.67313915857605178</v>
      </c>
      <c r="AB239" s="80"/>
      <c r="AC239" s="80"/>
      <c r="AD239" s="80"/>
      <c r="AE239" s="80" t="s">
        <v>16</v>
      </c>
      <c r="AF239" s="80" t="s">
        <v>7</v>
      </c>
      <c r="AG239" s="80" t="s">
        <v>8</v>
      </c>
      <c r="AH239" s="80"/>
      <c r="AI239" s="80"/>
      <c r="AJ239" s="80"/>
      <c r="AK239" s="80"/>
      <c r="AL239" s="80"/>
      <c r="AM239" s="80"/>
      <c r="AN239" s="80"/>
      <c r="AO239" s="80"/>
      <c r="AP239" s="80"/>
      <c r="AQ239" s="80"/>
    </row>
    <row r="240" spans="1:43" x14ac:dyDescent="0.3">
      <c r="A240" s="80">
        <v>422</v>
      </c>
      <c r="B240" s="103">
        <v>70.172000000000011</v>
      </c>
      <c r="C240" s="93"/>
      <c r="D240" s="103"/>
      <c r="E240" s="93"/>
      <c r="F240" s="104"/>
      <c r="G240" s="80"/>
      <c r="H240" s="102"/>
      <c r="I240" s="80"/>
      <c r="J240" s="102"/>
      <c r="K240" s="80"/>
      <c r="L240" s="93"/>
      <c r="M240" s="104"/>
      <c r="N240" s="80"/>
      <c r="O240" s="91">
        <v>60.016000000000005</v>
      </c>
      <c r="P240" s="92">
        <v>532</v>
      </c>
      <c r="Q240" s="103">
        <v>368</v>
      </c>
      <c r="R240" s="93">
        <v>316</v>
      </c>
      <c r="S240" s="92" t="e">
        <f t="shared" ref="S240:S268" si="48">(P240-C240)/C240</f>
        <v>#DIV/0!</v>
      </c>
      <c r="T240" s="104">
        <f t="shared" ref="T240:T268" si="49">(P240-Q240)/Q240</f>
        <v>0.44565217391304346</v>
      </c>
      <c r="U240" s="103">
        <v>60.016000000000005</v>
      </c>
      <c r="V240" s="92">
        <v>532</v>
      </c>
      <c r="W240" s="92">
        <v>368</v>
      </c>
      <c r="X240" s="93">
        <v>316</v>
      </c>
      <c r="Y240" s="92">
        <v>1.9720670391061452</v>
      </c>
      <c r="Z240" s="80">
        <v>0.44565217391304346</v>
      </c>
      <c r="AA240" s="105">
        <f t="shared" ref="AA240:AA248" si="50">(V240-X240)/X240</f>
        <v>0.68354430379746833</v>
      </c>
      <c r="AB240" s="80"/>
      <c r="AC240" s="84">
        <v>0</v>
      </c>
      <c r="AD240" s="85">
        <f t="shared" ref="AD240:AD245" si="51">AC240+0.1</f>
        <v>0.1</v>
      </c>
      <c r="AE240" s="84">
        <f>COUNTIFS($Y$239:$Y$268,"&lt;"&amp;AD240,$Y$239:$Y$268,"&gt;="&amp;AC240)/30</f>
        <v>0</v>
      </c>
      <c r="AF240" s="85">
        <f>COUNTIFS($Z$239:$Z$268,"&lt;"&amp;AD240,$Z$239:$Z$268,"&gt;="&amp;AC240)/30</f>
        <v>0</v>
      </c>
      <c r="AG240" s="86">
        <f>COUNTIFS($AA$239:$AA$268,"&lt;"&amp;AD240,$AA$239:$AA$268,"&gt;="&amp;AC240)/30</f>
        <v>0</v>
      </c>
      <c r="AH240" s="86" t="str">
        <f>_xlfn.CONCAT(TEXT(AC240,"0.00"),"-",TEXT(AD240,"0.00"))</f>
        <v>0.00-0.10</v>
      </c>
      <c r="AI240" s="80"/>
      <c r="AJ240" s="80"/>
      <c r="AK240" s="80"/>
      <c r="AL240" s="80"/>
      <c r="AM240" s="80"/>
      <c r="AN240" s="80"/>
      <c r="AO240" s="80"/>
      <c r="AP240" s="80"/>
      <c r="AQ240" s="80"/>
    </row>
    <row r="241" spans="1:43" x14ac:dyDescent="0.3">
      <c r="A241" s="80">
        <v>408</v>
      </c>
      <c r="B241" s="103">
        <v>70.155999999999977</v>
      </c>
      <c r="C241" s="93"/>
      <c r="D241" s="103"/>
      <c r="E241" s="93"/>
      <c r="F241" s="104"/>
      <c r="G241" s="80"/>
      <c r="H241" s="102"/>
      <c r="I241" s="80"/>
      <c r="J241" s="102"/>
      <c r="K241" s="80"/>
      <c r="L241" s="93"/>
      <c r="M241" s="104"/>
      <c r="N241" s="80"/>
      <c r="O241" s="91">
        <v>63.202999999999989</v>
      </c>
      <c r="P241" s="92">
        <v>538</v>
      </c>
      <c r="Q241" s="103">
        <v>355</v>
      </c>
      <c r="R241" s="93">
        <v>341</v>
      </c>
      <c r="S241" s="92" t="e">
        <f t="shared" si="48"/>
        <v>#DIV/0!</v>
      </c>
      <c r="T241" s="104">
        <f t="shared" si="49"/>
        <v>0.51549295774647885</v>
      </c>
      <c r="U241" s="103">
        <v>63.202999999999989</v>
      </c>
      <c r="V241" s="92">
        <v>538</v>
      </c>
      <c r="W241" s="92">
        <v>355</v>
      </c>
      <c r="X241" s="93">
        <v>341</v>
      </c>
      <c r="Y241" s="92">
        <v>1.9888888888888889</v>
      </c>
      <c r="Z241" s="80">
        <v>0.51549295774647885</v>
      </c>
      <c r="AA241" s="105">
        <f t="shared" si="50"/>
        <v>0.57771260997067453</v>
      </c>
      <c r="AB241" s="80"/>
      <c r="AC241" s="102">
        <f t="shared" ref="AC241:AC246" si="52">AD240</f>
        <v>0.1</v>
      </c>
      <c r="AD241" s="80">
        <f t="shared" si="51"/>
        <v>0.2</v>
      </c>
      <c r="AE241" s="102">
        <f t="shared" ref="AE241:AE246" si="53">COUNTIFS($Y$239:$Y$268,"&lt;"&amp;AD241,$Y$239:$Y$268,"&gt;="&amp;AC241)/30</f>
        <v>0</v>
      </c>
      <c r="AF241" s="80">
        <f t="shared" ref="AF241:AF246" si="54">COUNTIFS($Z$239:$Z$268,"&lt;"&amp;AD241,$Z$239:$Z$268,"&gt;="&amp;AC241)/30</f>
        <v>0</v>
      </c>
      <c r="AG241" s="104">
        <f t="shared" ref="AG241:AG246" si="55">COUNTIFS($AA$239:$AA$268,"&lt;"&amp;AD241,$AA$239:$AA$268,"&gt;="&amp;AC241)/30</f>
        <v>0</v>
      </c>
      <c r="AH241" s="104" t="str">
        <f t="shared" ref="AH241:AH246" si="56">_xlfn.CONCAT(TEXT(AC241,"0.00"),"-",TEXT(AD241,"0.00"))</f>
        <v>0.10-0.20</v>
      </c>
      <c r="AI241" s="80"/>
      <c r="AJ241" s="80"/>
      <c r="AK241" s="80"/>
      <c r="AL241" s="80"/>
      <c r="AM241" s="80"/>
      <c r="AN241" s="80"/>
      <c r="AO241" s="80"/>
      <c r="AP241" s="80"/>
      <c r="AQ241" s="80"/>
    </row>
    <row r="242" spans="1:43" x14ac:dyDescent="0.3">
      <c r="A242" s="80">
        <v>410</v>
      </c>
      <c r="B242" s="103">
        <v>70.172000000000025</v>
      </c>
      <c r="C242" s="93"/>
      <c r="D242" s="103"/>
      <c r="E242" s="93"/>
      <c r="F242" s="104"/>
      <c r="G242" s="80"/>
      <c r="H242" s="102"/>
      <c r="I242" s="80"/>
      <c r="J242" s="102"/>
      <c r="K242" s="80"/>
      <c r="L242" s="93"/>
      <c r="M242" s="104"/>
      <c r="N242" s="80"/>
      <c r="O242" s="91">
        <v>80.342999999999989</v>
      </c>
      <c r="P242" s="92">
        <v>558</v>
      </c>
      <c r="Q242" s="103">
        <v>375</v>
      </c>
      <c r="R242" s="93">
        <v>310</v>
      </c>
      <c r="S242" s="92" t="e">
        <f t="shared" si="48"/>
        <v>#DIV/0!</v>
      </c>
      <c r="T242" s="104">
        <f t="shared" si="49"/>
        <v>0.48799999999999999</v>
      </c>
      <c r="U242" s="103">
        <v>80.342999999999989</v>
      </c>
      <c r="V242" s="92">
        <v>558</v>
      </c>
      <c r="W242" s="92">
        <v>375</v>
      </c>
      <c r="X242" s="93">
        <v>310</v>
      </c>
      <c r="Y242" s="92">
        <v>2.4024390243902438</v>
      </c>
      <c r="Z242" s="80">
        <v>0.48799999999999999</v>
      </c>
      <c r="AA242" s="105">
        <f t="shared" si="50"/>
        <v>0.8</v>
      </c>
      <c r="AB242" s="80"/>
      <c r="AC242" s="102">
        <f t="shared" si="52"/>
        <v>0.2</v>
      </c>
      <c r="AD242" s="80">
        <f t="shared" si="51"/>
        <v>0.30000000000000004</v>
      </c>
      <c r="AE242" s="102">
        <f t="shared" si="53"/>
        <v>0</v>
      </c>
      <c r="AF242" s="80">
        <f t="shared" si="54"/>
        <v>0</v>
      </c>
      <c r="AG242" s="104">
        <f t="shared" si="55"/>
        <v>0</v>
      </c>
      <c r="AH242" s="104" t="str">
        <f t="shared" si="56"/>
        <v>0.20-0.30</v>
      </c>
      <c r="AI242" s="80"/>
      <c r="AJ242" s="80"/>
      <c r="AK242" s="80"/>
      <c r="AL242" s="80"/>
      <c r="AM242" s="80"/>
      <c r="AN242" s="80"/>
      <c r="AO242" s="80"/>
      <c r="AP242" s="80"/>
      <c r="AQ242" s="80"/>
    </row>
    <row r="243" spans="1:43" x14ac:dyDescent="0.3">
      <c r="A243" s="80">
        <v>411</v>
      </c>
      <c r="B243" s="103">
        <v>70.171999999999969</v>
      </c>
      <c r="C243" s="93"/>
      <c r="D243" s="103"/>
      <c r="E243" s="93"/>
      <c r="F243" s="104"/>
      <c r="G243" s="80"/>
      <c r="H243" s="102"/>
      <c r="I243" s="80"/>
      <c r="J243" s="102"/>
      <c r="K243" s="80"/>
      <c r="L243" s="93"/>
      <c r="M243" s="104"/>
      <c r="N243" s="80"/>
      <c r="O243" s="91">
        <v>78.01600000000002</v>
      </c>
      <c r="P243" s="92">
        <v>585</v>
      </c>
      <c r="Q243" s="103">
        <v>352</v>
      </c>
      <c r="R243" s="93">
        <v>324</v>
      </c>
      <c r="S243" s="92" t="e">
        <f t="shared" si="48"/>
        <v>#DIV/0!</v>
      </c>
      <c r="T243" s="104">
        <f t="shared" si="49"/>
        <v>0.66193181818181823</v>
      </c>
      <c r="U243" s="103">
        <v>78.01600000000002</v>
      </c>
      <c r="V243" s="92">
        <v>585</v>
      </c>
      <c r="W243" s="92">
        <v>352</v>
      </c>
      <c r="X243" s="93">
        <v>324</v>
      </c>
      <c r="Y243" s="92">
        <v>2.2142857142857144</v>
      </c>
      <c r="Z243" s="80">
        <v>0.66193181818181823</v>
      </c>
      <c r="AA243" s="105">
        <f t="shared" si="50"/>
        <v>0.80555555555555558</v>
      </c>
      <c r="AB243" s="80"/>
      <c r="AC243" s="102">
        <f t="shared" si="52"/>
        <v>0.30000000000000004</v>
      </c>
      <c r="AD243" s="80">
        <f t="shared" si="51"/>
        <v>0.4</v>
      </c>
      <c r="AE243" s="102">
        <f t="shared" si="53"/>
        <v>0</v>
      </c>
      <c r="AF243" s="80">
        <f t="shared" si="54"/>
        <v>0.2</v>
      </c>
      <c r="AG243" s="104">
        <f t="shared" si="55"/>
        <v>3.3333333333333333E-2</v>
      </c>
      <c r="AH243" s="104" t="str">
        <f t="shared" si="56"/>
        <v>0.30-0.40</v>
      </c>
      <c r="AI243" s="80"/>
      <c r="AJ243" s="80">
        <f>AVERAGE(Y239:Y268)</f>
        <v>2.211962520983052</v>
      </c>
      <c r="AK243" s="80">
        <f>AVERAGE(Z239:Z268)</f>
        <v>0.49957549873052237</v>
      </c>
      <c r="AL243" s="80">
        <f>AVERAGE(AA239:AA268)</f>
        <v>0.67428490053805956</v>
      </c>
      <c r="AM243" s="80"/>
      <c r="AN243" s="80"/>
      <c r="AO243" s="80"/>
      <c r="AP243" s="80"/>
      <c r="AQ243" s="80"/>
    </row>
    <row r="244" spans="1:43" x14ac:dyDescent="0.3">
      <c r="A244" s="102"/>
      <c r="B244" s="103"/>
      <c r="C244" s="93"/>
      <c r="D244" s="103"/>
      <c r="E244" s="93"/>
      <c r="F244" s="104"/>
      <c r="G244" s="80"/>
      <c r="H244" s="102"/>
      <c r="I244" s="80"/>
      <c r="J244" s="102"/>
      <c r="K244" s="80"/>
      <c r="L244" s="93"/>
      <c r="M244" s="104"/>
      <c r="N244" s="80"/>
      <c r="O244" s="91">
        <v>67.468999999999994</v>
      </c>
      <c r="P244" s="92">
        <v>577</v>
      </c>
      <c r="Q244" s="103">
        <v>371</v>
      </c>
      <c r="R244" s="93">
        <v>331</v>
      </c>
      <c r="S244" s="92" t="e">
        <f t="shared" si="48"/>
        <v>#DIV/0!</v>
      </c>
      <c r="T244" s="104">
        <f t="shared" si="49"/>
        <v>0.55525606469002697</v>
      </c>
      <c r="U244" s="103">
        <v>67.468999999999994</v>
      </c>
      <c r="V244" s="92">
        <v>577</v>
      </c>
      <c r="W244" s="92">
        <v>371</v>
      </c>
      <c r="X244" s="93">
        <v>331</v>
      </c>
      <c r="Y244" s="92">
        <v>2.3160919540229883</v>
      </c>
      <c r="Z244" s="80">
        <v>0.55525606469002697</v>
      </c>
      <c r="AA244" s="105">
        <f t="shared" si="50"/>
        <v>0.74320241691842903</v>
      </c>
      <c r="AB244" s="80"/>
      <c r="AC244" s="102">
        <f t="shared" si="52"/>
        <v>0.4</v>
      </c>
      <c r="AD244" s="80">
        <f t="shared" si="51"/>
        <v>0.5</v>
      </c>
      <c r="AE244" s="102">
        <f t="shared" si="53"/>
        <v>0</v>
      </c>
      <c r="AF244" s="80">
        <f t="shared" si="54"/>
        <v>0.3</v>
      </c>
      <c r="AG244" s="104">
        <f t="shared" si="55"/>
        <v>3.3333333333333333E-2</v>
      </c>
      <c r="AH244" s="104" t="str">
        <f t="shared" si="56"/>
        <v>0.40-0.50</v>
      </c>
      <c r="AI244" s="80"/>
      <c r="AJ244" s="80"/>
      <c r="AK244" s="80"/>
      <c r="AL244" s="80"/>
      <c r="AM244" s="80"/>
      <c r="AN244" s="80"/>
      <c r="AO244" s="80"/>
      <c r="AP244" s="80"/>
      <c r="AQ244" s="80"/>
    </row>
    <row r="245" spans="1:43" x14ac:dyDescent="0.3">
      <c r="A245" s="102"/>
      <c r="B245" s="103"/>
      <c r="C245" s="93"/>
      <c r="D245" s="103"/>
      <c r="E245" s="93"/>
      <c r="F245" s="104"/>
      <c r="G245" s="80"/>
      <c r="H245" s="102"/>
      <c r="I245" s="80"/>
      <c r="J245" s="102"/>
      <c r="K245" s="80"/>
      <c r="L245" s="93"/>
      <c r="M245" s="104"/>
      <c r="N245" s="80"/>
      <c r="O245" s="91">
        <v>67.172000000000025</v>
      </c>
      <c r="P245" s="92">
        <v>514</v>
      </c>
      <c r="Q245" s="103">
        <v>378</v>
      </c>
      <c r="R245" s="93">
        <v>321</v>
      </c>
      <c r="S245" s="92" t="e">
        <f t="shared" si="48"/>
        <v>#DIV/0!</v>
      </c>
      <c r="T245" s="104">
        <f t="shared" si="49"/>
        <v>0.35978835978835977</v>
      </c>
      <c r="U245" s="103">
        <v>67.172000000000025</v>
      </c>
      <c r="V245" s="92">
        <v>514</v>
      </c>
      <c r="W245" s="92">
        <v>378</v>
      </c>
      <c r="X245" s="93">
        <v>321</v>
      </c>
      <c r="Y245" s="92">
        <v>1.9039548022598871</v>
      </c>
      <c r="Z245" s="80">
        <v>0.35978835978835977</v>
      </c>
      <c r="AA245" s="105">
        <f t="shared" si="50"/>
        <v>0.60124610591900307</v>
      </c>
      <c r="AB245" s="80"/>
      <c r="AC245" s="102">
        <f t="shared" si="52"/>
        <v>0.5</v>
      </c>
      <c r="AD245" s="80">
        <f t="shared" si="51"/>
        <v>0.6</v>
      </c>
      <c r="AE245" s="102">
        <f t="shared" si="53"/>
        <v>0</v>
      </c>
      <c r="AF245" s="80">
        <f t="shared" si="54"/>
        <v>0.36666666666666664</v>
      </c>
      <c r="AG245" s="104">
        <f t="shared" si="55"/>
        <v>0.1</v>
      </c>
      <c r="AH245" s="104" t="str">
        <f t="shared" si="56"/>
        <v>0.50-0.60</v>
      </c>
      <c r="AI245" s="80"/>
      <c r="AJ245" s="80"/>
      <c r="AK245" s="80"/>
      <c r="AL245" s="80"/>
      <c r="AM245" s="80"/>
      <c r="AN245" s="80"/>
      <c r="AO245" s="80"/>
      <c r="AP245" s="80"/>
      <c r="AQ245" s="80"/>
    </row>
    <row r="246" spans="1:43" ht="15" thickBot="1" x14ac:dyDescent="0.35">
      <c r="A246" s="102"/>
      <c r="B246" s="103"/>
      <c r="C246" s="93"/>
      <c r="D246" s="103"/>
      <c r="E246" s="93"/>
      <c r="F246" s="104"/>
      <c r="G246" s="80"/>
      <c r="H246" s="102"/>
      <c r="I246" s="80"/>
      <c r="J246" s="102"/>
      <c r="K246" s="80"/>
      <c r="L246" s="93"/>
      <c r="M246" s="104"/>
      <c r="N246" s="80"/>
      <c r="O246" s="91">
        <v>73.953000000000031</v>
      </c>
      <c r="P246" s="92">
        <v>545</v>
      </c>
      <c r="Q246" s="103">
        <v>343</v>
      </c>
      <c r="R246" s="93">
        <v>305</v>
      </c>
      <c r="S246" s="92" t="e">
        <f t="shared" si="48"/>
        <v>#DIV/0!</v>
      </c>
      <c r="T246" s="104">
        <f t="shared" si="49"/>
        <v>0.58892128279883382</v>
      </c>
      <c r="U246" s="103">
        <v>73.953000000000031</v>
      </c>
      <c r="V246" s="92">
        <v>545</v>
      </c>
      <c r="W246" s="92">
        <v>343</v>
      </c>
      <c r="X246" s="93">
        <v>305</v>
      </c>
      <c r="Y246" s="92">
        <v>1.9144385026737969</v>
      </c>
      <c r="Z246" s="80">
        <v>0.58892128279883382</v>
      </c>
      <c r="AA246" s="105">
        <f t="shared" si="50"/>
        <v>0.78688524590163933</v>
      </c>
      <c r="AB246" s="80"/>
      <c r="AC246" s="106">
        <f t="shared" si="52"/>
        <v>0.6</v>
      </c>
      <c r="AD246" s="107">
        <f>1</f>
        <v>1</v>
      </c>
      <c r="AE246" s="106">
        <f t="shared" si="53"/>
        <v>0</v>
      </c>
      <c r="AF246" s="107">
        <f t="shared" si="54"/>
        <v>0.13333333333333333</v>
      </c>
      <c r="AG246" s="108">
        <f t="shared" si="55"/>
        <v>0.83333333333333337</v>
      </c>
      <c r="AH246" s="108" t="str">
        <f t="shared" si="56"/>
        <v>0.60-1.00</v>
      </c>
      <c r="AI246" s="80"/>
      <c r="AJ246" s="80"/>
      <c r="AK246" s="80"/>
      <c r="AL246" s="80"/>
      <c r="AM246" s="80"/>
      <c r="AN246" s="80"/>
      <c r="AO246" s="80"/>
      <c r="AP246" s="80"/>
      <c r="AQ246" s="80"/>
    </row>
    <row r="247" spans="1:43" x14ac:dyDescent="0.3">
      <c r="A247" s="102"/>
      <c r="B247" s="103"/>
      <c r="C247" s="93"/>
      <c r="D247" s="103"/>
      <c r="E247" s="93"/>
      <c r="F247" s="104"/>
      <c r="G247" s="80"/>
      <c r="H247" s="102"/>
      <c r="I247" s="80"/>
      <c r="J247" s="102"/>
      <c r="K247" s="80"/>
      <c r="L247" s="93"/>
      <c r="M247" s="104"/>
      <c r="N247" s="80"/>
      <c r="O247" s="91">
        <v>63.108999999999924</v>
      </c>
      <c r="P247" s="92">
        <v>546</v>
      </c>
      <c r="Q247" s="103">
        <v>371</v>
      </c>
      <c r="R247" s="93">
        <v>362</v>
      </c>
      <c r="S247" s="92" t="e">
        <f t="shared" si="48"/>
        <v>#DIV/0!</v>
      </c>
      <c r="T247" s="104">
        <f t="shared" si="49"/>
        <v>0.47169811320754718</v>
      </c>
      <c r="U247" s="103">
        <v>63.108999999999924</v>
      </c>
      <c r="V247" s="92">
        <v>546</v>
      </c>
      <c r="W247" s="92">
        <v>371</v>
      </c>
      <c r="X247" s="93">
        <v>362</v>
      </c>
      <c r="Y247" s="92">
        <v>2.3090909090909091</v>
      </c>
      <c r="Z247" s="80">
        <v>0.47169811320754718</v>
      </c>
      <c r="AA247" s="105">
        <f t="shared" si="50"/>
        <v>0.50828729281767959</v>
      </c>
      <c r="AB247" s="80"/>
      <c r="AC247" s="80"/>
      <c r="AD247" s="80"/>
      <c r="AE247" s="80">
        <v>30</v>
      </c>
      <c r="AF247" s="80">
        <v>30</v>
      </c>
      <c r="AG247" s="80"/>
      <c r="AH247" s="80"/>
      <c r="AI247" s="80"/>
      <c r="AJ247" s="80"/>
      <c r="AK247" s="80"/>
      <c r="AL247" s="80"/>
      <c r="AM247" s="80"/>
      <c r="AN247" s="80"/>
      <c r="AO247" s="80"/>
      <c r="AP247" s="80"/>
      <c r="AQ247" s="80"/>
    </row>
    <row r="248" spans="1:43" x14ac:dyDescent="0.3">
      <c r="A248" s="102"/>
      <c r="B248" s="103"/>
      <c r="C248" s="93"/>
      <c r="D248" s="103"/>
      <c r="E248" s="93"/>
      <c r="F248" s="104"/>
      <c r="G248" s="80"/>
      <c r="H248" s="102"/>
      <c r="I248" s="80"/>
      <c r="J248" s="102"/>
      <c r="K248" s="80"/>
      <c r="L248" s="93"/>
      <c r="M248" s="104"/>
      <c r="N248" s="80"/>
      <c r="O248" s="91">
        <v>74.610000000000014</v>
      </c>
      <c r="P248" s="92">
        <v>499</v>
      </c>
      <c r="Q248" s="103">
        <v>347</v>
      </c>
      <c r="R248" s="93">
        <v>308</v>
      </c>
      <c r="S248" s="92" t="e">
        <f t="shared" si="48"/>
        <v>#DIV/0!</v>
      </c>
      <c r="T248" s="104">
        <f t="shared" si="49"/>
        <v>0.43804034582132567</v>
      </c>
      <c r="U248" s="103">
        <v>74.610000000000014</v>
      </c>
      <c r="V248" s="92">
        <v>499</v>
      </c>
      <c r="W248" s="92">
        <v>347</v>
      </c>
      <c r="X248" s="93">
        <v>308</v>
      </c>
      <c r="Y248" s="92">
        <v>1.9352941176470588</v>
      </c>
      <c r="Z248" s="80">
        <v>0.43804034582132567</v>
      </c>
      <c r="AA248" s="105">
        <f t="shared" si="50"/>
        <v>0.62012987012987009</v>
      </c>
      <c r="AB248" s="80"/>
      <c r="AC248" s="80"/>
      <c r="AD248" s="80"/>
      <c r="AE248" s="80">
        <f>SUM(AE240:AE246)</f>
        <v>0</v>
      </c>
      <c r="AF248" s="80">
        <f>SUM(AF240:AF246)</f>
        <v>1</v>
      </c>
      <c r="AG248" s="80">
        <f>SUM(AG240:AG246)</f>
        <v>1</v>
      </c>
      <c r="AH248" s="80"/>
      <c r="AI248" s="80"/>
      <c r="AJ248" s="80"/>
      <c r="AK248" s="80"/>
      <c r="AL248" s="80"/>
      <c r="AM248" s="80"/>
      <c r="AN248" s="80"/>
      <c r="AO248" s="80"/>
      <c r="AP248" s="80"/>
      <c r="AQ248" s="80"/>
    </row>
    <row r="249" spans="1:43" x14ac:dyDescent="0.3">
      <c r="A249" s="102"/>
      <c r="B249" s="103"/>
      <c r="C249" s="93"/>
      <c r="D249" s="103"/>
      <c r="E249" s="93"/>
      <c r="F249" s="104"/>
      <c r="G249" s="80"/>
      <c r="H249" s="102"/>
      <c r="I249" s="80"/>
      <c r="J249" s="102"/>
      <c r="K249" s="80"/>
      <c r="L249" s="93"/>
      <c r="M249" s="104"/>
      <c r="N249" s="80"/>
      <c r="O249" s="91">
        <v>71.952999999999975</v>
      </c>
      <c r="P249" s="92">
        <v>526</v>
      </c>
      <c r="Q249" s="103">
        <v>347</v>
      </c>
      <c r="R249" s="93">
        <v>316</v>
      </c>
      <c r="S249" s="92" t="e">
        <f t="shared" si="48"/>
        <v>#DIV/0!</v>
      </c>
      <c r="T249" s="104">
        <f t="shared" si="49"/>
        <v>0.51585014409221897</v>
      </c>
      <c r="U249" s="103">
        <v>71.952999999999975</v>
      </c>
      <c r="V249" s="92">
        <v>526</v>
      </c>
      <c r="W249" s="92">
        <v>347</v>
      </c>
      <c r="X249" s="93">
        <v>316</v>
      </c>
      <c r="Y249" s="92">
        <v>1.783068783068783</v>
      </c>
      <c r="Z249" s="80">
        <v>0.51585014409221897</v>
      </c>
      <c r="AA249" s="105">
        <f>(V249-X249)/X249</f>
        <v>0.66455696202531644</v>
      </c>
      <c r="AB249" s="80"/>
      <c r="AC249" s="80"/>
      <c r="AD249" s="80"/>
      <c r="AE249" s="80"/>
      <c r="AF249" s="80"/>
      <c r="AG249" s="80"/>
      <c r="AH249" s="80"/>
      <c r="AI249" s="80"/>
      <c r="AJ249" s="80"/>
      <c r="AK249" s="80"/>
      <c r="AL249" s="80"/>
      <c r="AM249" s="80"/>
      <c r="AN249" s="80"/>
      <c r="AO249" s="80"/>
      <c r="AP249" s="80"/>
      <c r="AQ249" s="80"/>
    </row>
    <row r="250" spans="1:43" x14ac:dyDescent="0.3">
      <c r="A250" s="102"/>
      <c r="B250" s="103"/>
      <c r="C250" s="93"/>
      <c r="D250" s="103"/>
      <c r="E250" s="93"/>
      <c r="F250" s="104"/>
      <c r="G250" s="80"/>
      <c r="H250" s="102"/>
      <c r="I250" s="80"/>
      <c r="J250" s="102"/>
      <c r="K250" s="80"/>
      <c r="L250" s="93"/>
      <c r="M250" s="104"/>
      <c r="N250" s="80"/>
      <c r="O250" s="91">
        <v>80.593000000000075</v>
      </c>
      <c r="P250" s="92">
        <v>516</v>
      </c>
      <c r="Q250" s="103">
        <v>329</v>
      </c>
      <c r="R250" s="93">
        <v>312</v>
      </c>
      <c r="S250" s="92" t="e">
        <f t="shared" si="48"/>
        <v>#DIV/0!</v>
      </c>
      <c r="T250" s="104">
        <f t="shared" si="49"/>
        <v>0.56838905775075987</v>
      </c>
      <c r="U250" s="103">
        <v>80.593000000000075</v>
      </c>
      <c r="V250" s="80">
        <v>516</v>
      </c>
      <c r="W250" s="92">
        <v>329</v>
      </c>
      <c r="X250" s="93">
        <v>312</v>
      </c>
      <c r="Y250" s="92">
        <v>2.0532544378698225</v>
      </c>
      <c r="Z250" s="80">
        <v>0.56838905775075987</v>
      </c>
      <c r="AA250" s="105">
        <f>(V250-X250)/X250</f>
        <v>0.65384615384615385</v>
      </c>
      <c r="AB250" s="80"/>
      <c r="AC250" s="80"/>
      <c r="AD250" s="80"/>
      <c r="AE250" s="80"/>
      <c r="AF250" s="80"/>
      <c r="AG250" s="80"/>
      <c r="AH250" s="80"/>
      <c r="AI250" s="80"/>
      <c r="AJ250" s="80"/>
      <c r="AK250" s="80"/>
      <c r="AL250" s="80"/>
      <c r="AM250" s="80"/>
      <c r="AN250" s="80"/>
      <c r="AO250" s="80"/>
      <c r="AP250" s="80"/>
      <c r="AQ250" s="80"/>
    </row>
    <row r="251" spans="1:43" x14ac:dyDescent="0.3">
      <c r="A251" s="102"/>
      <c r="B251" s="103"/>
      <c r="C251" s="93"/>
      <c r="D251" s="103"/>
      <c r="E251" s="93"/>
      <c r="F251" s="104"/>
      <c r="G251" s="80"/>
      <c r="H251" s="102"/>
      <c r="I251" s="80"/>
      <c r="J251" s="102"/>
      <c r="K251" s="80"/>
      <c r="L251" s="93"/>
      <c r="M251" s="104"/>
      <c r="N251" s="80"/>
      <c r="O251" s="91">
        <v>77.093999999999937</v>
      </c>
      <c r="P251" s="92">
        <v>585</v>
      </c>
      <c r="Q251" s="103">
        <v>344</v>
      </c>
      <c r="R251" s="93">
        <v>317</v>
      </c>
      <c r="S251" s="92" t="e">
        <f t="shared" si="48"/>
        <v>#DIV/0!</v>
      </c>
      <c r="T251" s="104">
        <f t="shared" si="49"/>
        <v>0.70058139534883723</v>
      </c>
      <c r="U251" s="103">
        <v>77.093999999999937</v>
      </c>
      <c r="V251" s="92">
        <v>585</v>
      </c>
      <c r="W251" s="92">
        <v>344</v>
      </c>
      <c r="X251" s="93">
        <v>317</v>
      </c>
      <c r="Y251" s="92">
        <v>2.3815028901734103</v>
      </c>
      <c r="Z251" s="80">
        <v>0.70058139534883723</v>
      </c>
      <c r="AA251" s="105">
        <f t="shared" ref="AA251:AA257" si="57">(V251-X251)/X251</f>
        <v>0.8454258675078864</v>
      </c>
      <c r="AB251" s="80"/>
      <c r="AC251" s="80"/>
      <c r="AD251" s="80"/>
      <c r="AE251" s="80"/>
      <c r="AF251" s="80"/>
      <c r="AG251" s="80"/>
      <c r="AH251" s="80"/>
      <c r="AI251" s="80"/>
      <c r="AJ251" s="80"/>
      <c r="AK251" s="80"/>
      <c r="AL251" s="80"/>
      <c r="AM251" s="80"/>
      <c r="AN251" s="80"/>
      <c r="AO251" s="80"/>
      <c r="AP251" s="80"/>
      <c r="AQ251" s="80"/>
    </row>
    <row r="252" spans="1:43" x14ac:dyDescent="0.3">
      <c r="A252" s="102"/>
      <c r="B252" s="103"/>
      <c r="C252" s="93"/>
      <c r="D252" s="103"/>
      <c r="E252" s="93"/>
      <c r="F252" s="104"/>
      <c r="G252" s="80"/>
      <c r="H252" s="102"/>
      <c r="I252" s="80"/>
      <c r="J252" s="102"/>
      <c r="K252" s="80"/>
      <c r="L252" s="93"/>
      <c r="M252" s="104"/>
      <c r="N252" s="80"/>
      <c r="O252" s="91">
        <v>83.062999999999988</v>
      </c>
      <c r="P252" s="92">
        <v>514</v>
      </c>
      <c r="Q252" s="103">
        <v>369</v>
      </c>
      <c r="R252" s="93">
        <v>314</v>
      </c>
      <c r="S252" s="92" t="e">
        <f t="shared" si="48"/>
        <v>#DIV/0!</v>
      </c>
      <c r="T252" s="104">
        <f t="shared" si="49"/>
        <v>0.39295392953929537</v>
      </c>
      <c r="U252" s="103">
        <v>83.062999999999988</v>
      </c>
      <c r="V252" s="92">
        <v>514</v>
      </c>
      <c r="W252" s="92">
        <v>369</v>
      </c>
      <c r="X252" s="93">
        <v>314</v>
      </c>
      <c r="Y252" s="92">
        <v>1.9710982658959537</v>
      </c>
      <c r="Z252" s="80">
        <v>0.39295392953929537</v>
      </c>
      <c r="AA252" s="105">
        <f t="shared" si="57"/>
        <v>0.63694267515923564</v>
      </c>
      <c r="AB252" s="80"/>
      <c r="AC252" s="80"/>
      <c r="AD252" s="80"/>
      <c r="AE252" s="80"/>
      <c r="AF252" s="80"/>
      <c r="AG252" s="80"/>
      <c r="AH252" s="80"/>
      <c r="AI252" s="80"/>
      <c r="AJ252" s="80"/>
      <c r="AK252" s="80"/>
      <c r="AL252" s="80"/>
      <c r="AM252" s="80"/>
      <c r="AN252" s="80"/>
      <c r="AO252" s="80"/>
      <c r="AP252" s="80"/>
      <c r="AQ252" s="80"/>
    </row>
    <row r="253" spans="1:43" x14ac:dyDescent="0.3">
      <c r="A253" s="102"/>
      <c r="B253" s="103"/>
      <c r="C253" s="93"/>
      <c r="D253" s="103"/>
      <c r="E253" s="93"/>
      <c r="F253" s="104"/>
      <c r="G253" s="80"/>
      <c r="H253" s="102"/>
      <c r="I253" s="80"/>
      <c r="J253" s="102"/>
      <c r="K253" s="80"/>
      <c r="L253" s="93"/>
      <c r="M253" s="104"/>
      <c r="N253" s="80"/>
      <c r="O253" s="91">
        <v>70.375000000000114</v>
      </c>
      <c r="P253" s="92">
        <v>598</v>
      </c>
      <c r="Q253" s="103">
        <v>389</v>
      </c>
      <c r="R253" s="93">
        <v>324</v>
      </c>
      <c r="S253" s="92" t="e">
        <f t="shared" si="48"/>
        <v>#DIV/0!</v>
      </c>
      <c r="T253" s="104">
        <f t="shared" si="49"/>
        <v>0.53727506426735216</v>
      </c>
      <c r="U253" s="103">
        <v>70.375000000000114</v>
      </c>
      <c r="V253" s="92">
        <v>598</v>
      </c>
      <c r="W253" s="92">
        <v>389</v>
      </c>
      <c r="X253" s="93">
        <v>324</v>
      </c>
      <c r="Y253" s="92">
        <v>2.1145833333333335</v>
      </c>
      <c r="Z253" s="80">
        <v>0.53727506426735216</v>
      </c>
      <c r="AA253" s="105">
        <f t="shared" si="57"/>
        <v>0.84567901234567899</v>
      </c>
      <c r="AB253" s="80"/>
      <c r="AC253" s="80"/>
      <c r="AD253" s="80"/>
      <c r="AE253" s="80"/>
      <c r="AF253" s="80"/>
      <c r="AG253" s="80"/>
      <c r="AH253" s="80"/>
      <c r="AI253" s="80"/>
      <c r="AJ253" s="80"/>
      <c r="AK253" s="80"/>
      <c r="AL253" s="80"/>
      <c r="AM253" s="80"/>
      <c r="AN253" s="80"/>
      <c r="AO253" s="80"/>
      <c r="AP253" s="80"/>
      <c r="AQ253" s="80"/>
    </row>
    <row r="254" spans="1:43" x14ac:dyDescent="0.3">
      <c r="A254" s="102"/>
      <c r="B254" s="103"/>
      <c r="C254" s="93"/>
      <c r="D254" s="103"/>
      <c r="E254" s="93"/>
      <c r="F254" s="104"/>
      <c r="G254" s="80"/>
      <c r="H254" s="102"/>
      <c r="I254" s="80"/>
      <c r="J254" s="102"/>
      <c r="K254" s="80"/>
      <c r="L254" s="93"/>
      <c r="M254" s="104"/>
      <c r="N254" s="80"/>
      <c r="O254" s="91">
        <v>60.889999999999873</v>
      </c>
      <c r="P254" s="92">
        <v>549</v>
      </c>
      <c r="Q254" s="103">
        <v>368</v>
      </c>
      <c r="R254" s="93">
        <v>318</v>
      </c>
      <c r="S254" s="92" t="e">
        <f t="shared" si="48"/>
        <v>#DIV/0!</v>
      </c>
      <c r="T254" s="104">
        <f t="shared" si="49"/>
        <v>0.49184782608695654</v>
      </c>
      <c r="U254" s="103">
        <v>60.889999999999873</v>
      </c>
      <c r="V254" s="92">
        <v>549</v>
      </c>
      <c r="W254" s="92">
        <v>368</v>
      </c>
      <c r="X254" s="93">
        <v>318</v>
      </c>
      <c r="Y254" s="92">
        <v>2</v>
      </c>
      <c r="Z254" s="80">
        <v>0.49184782608695654</v>
      </c>
      <c r="AA254" s="105">
        <f t="shared" si="57"/>
        <v>0.72641509433962259</v>
      </c>
      <c r="AB254" s="80"/>
      <c r="AC254" s="80"/>
      <c r="AD254" s="80"/>
      <c r="AE254" s="80"/>
      <c r="AF254" s="80"/>
      <c r="AG254" s="80"/>
      <c r="AH254" s="80"/>
      <c r="AI254" s="80"/>
      <c r="AJ254" s="80"/>
      <c r="AK254" s="80"/>
      <c r="AL254" s="80"/>
      <c r="AM254" s="80"/>
      <c r="AN254" s="80"/>
      <c r="AO254" s="80"/>
      <c r="AP254" s="80"/>
      <c r="AQ254" s="80"/>
    </row>
    <row r="255" spans="1:43" x14ac:dyDescent="0.3">
      <c r="A255" s="102"/>
      <c r="B255" s="103"/>
      <c r="C255" s="93"/>
      <c r="D255" s="103"/>
      <c r="E255" s="93"/>
      <c r="F255" s="104"/>
      <c r="G255" s="80"/>
      <c r="H255" s="102"/>
      <c r="I255" s="80"/>
      <c r="J255" s="102"/>
      <c r="K255" s="80"/>
      <c r="L255" s="93"/>
      <c r="M255" s="104"/>
      <c r="N255" s="80"/>
      <c r="O255" s="91">
        <v>73.797000000000025</v>
      </c>
      <c r="P255" s="92">
        <v>537</v>
      </c>
      <c r="Q255" s="103">
        <v>363</v>
      </c>
      <c r="R255" s="93">
        <v>323</v>
      </c>
      <c r="S255" s="92" t="e">
        <f t="shared" si="48"/>
        <v>#DIV/0!</v>
      </c>
      <c r="T255" s="104">
        <f t="shared" si="49"/>
        <v>0.47933884297520662</v>
      </c>
      <c r="U255" s="103">
        <v>73.797000000000025</v>
      </c>
      <c r="V255" s="92">
        <v>537</v>
      </c>
      <c r="W255" s="92">
        <v>363</v>
      </c>
      <c r="X255" s="93">
        <v>323</v>
      </c>
      <c r="Y255" s="92">
        <v>2.1403508771929824</v>
      </c>
      <c r="Z255" s="80">
        <v>0.47933884297520662</v>
      </c>
      <c r="AA255" s="105">
        <f t="shared" si="57"/>
        <v>0.66253869969040247</v>
      </c>
      <c r="AB255" s="80"/>
      <c r="AC255" s="80"/>
      <c r="AD255" s="80"/>
      <c r="AE255" s="80"/>
      <c r="AF255" s="80"/>
      <c r="AG255" s="80"/>
      <c r="AH255" s="80"/>
      <c r="AI255" s="80"/>
      <c r="AJ255" s="80"/>
      <c r="AK255" s="80"/>
      <c r="AL255" s="80"/>
      <c r="AM255" s="80"/>
      <c r="AN255" s="80"/>
      <c r="AO255" s="80"/>
      <c r="AP255" s="80"/>
      <c r="AQ255" s="80"/>
    </row>
    <row r="256" spans="1:43" x14ac:dyDescent="0.3">
      <c r="A256" s="102"/>
      <c r="B256" s="103"/>
      <c r="C256" s="93"/>
      <c r="D256" s="103"/>
      <c r="E256" s="93"/>
      <c r="F256" s="104"/>
      <c r="G256" s="80"/>
      <c r="H256" s="102"/>
      <c r="I256" s="80"/>
      <c r="J256" s="102"/>
      <c r="K256" s="80"/>
      <c r="L256" s="93"/>
      <c r="M256" s="104"/>
      <c r="N256" s="80"/>
      <c r="O256" s="91">
        <v>66.047000000000025</v>
      </c>
      <c r="P256" s="92">
        <v>572</v>
      </c>
      <c r="Q256" s="103">
        <v>412</v>
      </c>
      <c r="R256" s="93">
        <v>343</v>
      </c>
      <c r="S256" s="92" t="e">
        <f t="shared" si="48"/>
        <v>#DIV/0!</v>
      </c>
      <c r="T256" s="104">
        <f t="shared" si="49"/>
        <v>0.38834951456310679</v>
      </c>
      <c r="U256" s="103">
        <v>66.047000000000025</v>
      </c>
      <c r="V256" s="92">
        <v>572</v>
      </c>
      <c r="W256" s="92">
        <v>412</v>
      </c>
      <c r="X256" s="93">
        <v>343</v>
      </c>
      <c r="Y256" s="92">
        <v>2.9722222222222223</v>
      </c>
      <c r="Z256" s="80">
        <v>0.38834951456310679</v>
      </c>
      <c r="AA256" s="105">
        <f t="shared" si="57"/>
        <v>0.66763848396501457</v>
      </c>
      <c r="AB256" s="80"/>
      <c r="AC256" s="80"/>
      <c r="AD256" s="80"/>
      <c r="AE256" s="80"/>
      <c r="AF256" s="80"/>
      <c r="AG256" s="80"/>
      <c r="AH256" s="80"/>
      <c r="AI256" s="80"/>
      <c r="AJ256" s="80"/>
      <c r="AK256" s="80"/>
      <c r="AL256" s="80"/>
      <c r="AM256" s="80"/>
      <c r="AN256" s="80"/>
      <c r="AO256" s="80"/>
      <c r="AP256" s="80"/>
      <c r="AQ256" s="80"/>
    </row>
    <row r="257" spans="1:43" x14ac:dyDescent="0.3">
      <c r="A257" s="102"/>
      <c r="B257" s="103"/>
      <c r="C257" s="93"/>
      <c r="D257" s="103"/>
      <c r="E257" s="93"/>
      <c r="F257" s="104"/>
      <c r="G257" s="80"/>
      <c r="H257" s="102"/>
      <c r="I257" s="80"/>
      <c r="J257" s="102"/>
      <c r="K257" s="80"/>
      <c r="L257" s="93"/>
      <c r="M257" s="104"/>
      <c r="N257" s="80"/>
      <c r="O257" s="91">
        <v>73.655999999999949</v>
      </c>
      <c r="P257" s="92">
        <v>608</v>
      </c>
      <c r="Q257" s="103">
        <v>378</v>
      </c>
      <c r="R257" s="93">
        <v>342</v>
      </c>
      <c r="S257" s="92" t="e">
        <f t="shared" si="48"/>
        <v>#DIV/0!</v>
      </c>
      <c r="T257" s="104">
        <f t="shared" si="49"/>
        <v>0.60846560846560849</v>
      </c>
      <c r="U257" s="103">
        <v>73.655999999999949</v>
      </c>
      <c r="V257" s="92">
        <v>608</v>
      </c>
      <c r="W257" s="92">
        <v>378</v>
      </c>
      <c r="X257" s="93">
        <v>342</v>
      </c>
      <c r="Y257" s="92">
        <v>2.684848484848485</v>
      </c>
      <c r="Z257" s="80">
        <v>0.60846560846560849</v>
      </c>
      <c r="AA257" s="105">
        <f t="shared" si="57"/>
        <v>0.77777777777777779</v>
      </c>
      <c r="AB257" s="80"/>
      <c r="AC257" s="80"/>
      <c r="AD257" s="80"/>
      <c r="AE257" s="80"/>
      <c r="AF257" s="80"/>
      <c r="AG257" s="80"/>
      <c r="AH257" s="80"/>
      <c r="AI257" s="80"/>
      <c r="AJ257" s="80"/>
      <c r="AK257" s="80"/>
      <c r="AL257" s="80"/>
      <c r="AM257" s="80"/>
      <c r="AN257" s="80"/>
      <c r="AO257" s="80"/>
      <c r="AP257" s="80"/>
      <c r="AQ257" s="80"/>
    </row>
    <row r="258" spans="1:43" x14ac:dyDescent="0.3">
      <c r="A258" s="102"/>
      <c r="B258" s="103"/>
      <c r="C258" s="93"/>
      <c r="D258" s="103"/>
      <c r="E258" s="93"/>
      <c r="F258" s="104"/>
      <c r="G258" s="80"/>
      <c r="H258" s="102"/>
      <c r="I258" s="80"/>
      <c r="J258" s="102"/>
      <c r="K258" s="80"/>
      <c r="L258" s="93"/>
      <c r="M258" s="104"/>
      <c r="N258" s="80"/>
      <c r="O258" s="91">
        <v>69.452999999999975</v>
      </c>
      <c r="P258" s="92">
        <v>556</v>
      </c>
      <c r="Q258" s="103">
        <v>368</v>
      </c>
      <c r="R258" s="93">
        <v>324</v>
      </c>
      <c r="S258" s="92" t="e">
        <f t="shared" si="48"/>
        <v>#DIV/0!</v>
      </c>
      <c r="T258" s="104">
        <f t="shared" si="49"/>
        <v>0.51086956521739135</v>
      </c>
      <c r="U258" s="103">
        <v>69.452999999999975</v>
      </c>
      <c r="V258" s="92">
        <v>556</v>
      </c>
      <c r="W258" s="92">
        <v>368</v>
      </c>
      <c r="X258" s="93">
        <v>324</v>
      </c>
      <c r="Y258" s="92">
        <v>1.8512820512820514</v>
      </c>
      <c r="Z258" s="80">
        <v>0.51086956521739135</v>
      </c>
      <c r="AA258" s="105">
        <f>(V258-X258)/X258</f>
        <v>0.71604938271604934</v>
      </c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  <c r="AL258" s="80"/>
      <c r="AM258" s="80"/>
      <c r="AN258" s="80"/>
      <c r="AO258" s="80"/>
      <c r="AP258" s="80"/>
      <c r="AQ258" s="80"/>
    </row>
    <row r="259" spans="1:43" x14ac:dyDescent="0.3">
      <c r="A259" s="102"/>
      <c r="B259" s="103"/>
      <c r="C259" s="93"/>
      <c r="D259" s="103"/>
      <c r="E259" s="93"/>
      <c r="F259" s="104"/>
      <c r="G259" s="80"/>
      <c r="H259" s="102"/>
      <c r="I259" s="80"/>
      <c r="J259" s="102"/>
      <c r="K259" s="80"/>
      <c r="L259" s="93"/>
      <c r="M259" s="104"/>
      <c r="N259" s="80"/>
      <c r="O259" s="91">
        <v>73.375</v>
      </c>
      <c r="P259" s="92">
        <v>537</v>
      </c>
      <c r="Q259" s="103">
        <v>386</v>
      </c>
      <c r="R259" s="93">
        <v>363</v>
      </c>
      <c r="S259" s="92" t="e">
        <f t="shared" si="48"/>
        <v>#DIV/0!</v>
      </c>
      <c r="T259" s="104">
        <f t="shared" si="49"/>
        <v>0.39119170984455959</v>
      </c>
      <c r="U259" s="103">
        <v>73.375</v>
      </c>
      <c r="V259" s="92">
        <v>537</v>
      </c>
      <c r="W259" s="92">
        <v>386</v>
      </c>
      <c r="X259" s="93">
        <v>363</v>
      </c>
      <c r="Y259" s="92">
        <v>2.3773584905660377</v>
      </c>
      <c r="Z259" s="80">
        <v>0.39119170984455959</v>
      </c>
      <c r="AA259" s="105">
        <f>(V259-X259)/X259</f>
        <v>0.47933884297520662</v>
      </c>
      <c r="AB259" s="80"/>
      <c r="AC259" s="80"/>
      <c r="AD259" s="80"/>
      <c r="AE259" s="80"/>
      <c r="AF259" s="80"/>
      <c r="AG259" s="80"/>
      <c r="AH259" s="80"/>
      <c r="AI259" s="80"/>
      <c r="AJ259" s="80"/>
      <c r="AK259" s="80"/>
      <c r="AL259" s="80"/>
      <c r="AM259" s="80"/>
      <c r="AN259" s="80"/>
      <c r="AO259" s="80"/>
      <c r="AP259" s="80"/>
      <c r="AQ259" s="80"/>
    </row>
    <row r="260" spans="1:43" x14ac:dyDescent="0.3">
      <c r="A260" s="102"/>
      <c r="B260" s="103"/>
      <c r="C260" s="93"/>
      <c r="D260" s="103"/>
      <c r="E260" s="93"/>
      <c r="F260" s="104"/>
      <c r="G260" s="80"/>
      <c r="H260" s="102"/>
      <c r="I260" s="80"/>
      <c r="J260" s="102"/>
      <c r="K260" s="80"/>
      <c r="L260" s="93"/>
      <c r="M260" s="104"/>
      <c r="N260" s="80"/>
      <c r="O260" s="91">
        <v>67.907000000000153</v>
      </c>
      <c r="P260" s="92">
        <v>529</v>
      </c>
      <c r="Q260" s="103">
        <v>345</v>
      </c>
      <c r="R260" s="93">
        <v>316</v>
      </c>
      <c r="S260" s="92" t="e">
        <f t="shared" si="48"/>
        <v>#DIV/0!</v>
      </c>
      <c r="T260" s="104">
        <f t="shared" si="49"/>
        <v>0.53333333333333333</v>
      </c>
      <c r="U260" s="103">
        <v>67.907000000000153</v>
      </c>
      <c r="V260" s="92">
        <v>529</v>
      </c>
      <c r="W260" s="92">
        <v>345</v>
      </c>
      <c r="X260" s="93">
        <v>316</v>
      </c>
      <c r="Y260" s="92">
        <v>2.7253521126760565</v>
      </c>
      <c r="Z260" s="80">
        <v>0.53333333333333333</v>
      </c>
      <c r="AA260" s="105">
        <f t="shared" ref="AA260:AA265" si="58">(V260-X260)/X260</f>
        <v>0.67405063291139244</v>
      </c>
      <c r="AB260" s="80"/>
      <c r="AC260" s="80"/>
      <c r="AD260" s="80"/>
      <c r="AE260" s="80"/>
      <c r="AF260" s="80"/>
      <c r="AG260" s="80"/>
      <c r="AH260" s="80"/>
      <c r="AI260" s="80"/>
      <c r="AJ260" s="80"/>
      <c r="AK260" s="80"/>
      <c r="AL260" s="80"/>
      <c r="AM260" s="80"/>
      <c r="AN260" s="80"/>
      <c r="AO260" s="80"/>
      <c r="AP260" s="80"/>
      <c r="AQ260" s="80"/>
    </row>
    <row r="261" spans="1:43" x14ac:dyDescent="0.3">
      <c r="A261" s="102"/>
      <c r="B261" s="103"/>
      <c r="C261" s="93"/>
      <c r="D261" s="103"/>
      <c r="E261" s="93"/>
      <c r="F261" s="104"/>
      <c r="G261" s="80"/>
      <c r="H261" s="102"/>
      <c r="I261" s="80"/>
      <c r="J261" s="102"/>
      <c r="K261" s="80"/>
      <c r="L261" s="93"/>
      <c r="M261" s="104"/>
      <c r="N261" s="80"/>
      <c r="O261" s="91">
        <v>69.280999999999949</v>
      </c>
      <c r="P261" s="92">
        <v>508</v>
      </c>
      <c r="Q261" s="103">
        <v>365</v>
      </c>
      <c r="R261" s="93">
        <v>365</v>
      </c>
      <c r="S261" s="92" t="e">
        <f t="shared" si="48"/>
        <v>#DIV/0!</v>
      </c>
      <c r="T261" s="104">
        <f t="shared" si="49"/>
        <v>0.39178082191780822</v>
      </c>
      <c r="U261" s="103">
        <v>69.280999999999949</v>
      </c>
      <c r="V261" s="92">
        <v>508</v>
      </c>
      <c r="W261" s="92">
        <v>365</v>
      </c>
      <c r="X261" s="93">
        <v>365</v>
      </c>
      <c r="Y261" s="92">
        <v>1.8066298342541436</v>
      </c>
      <c r="Z261" s="80">
        <v>0.39178082191780822</v>
      </c>
      <c r="AA261" s="105">
        <f t="shared" si="58"/>
        <v>0.39178082191780822</v>
      </c>
      <c r="AB261" s="80"/>
      <c r="AC261" s="80"/>
      <c r="AD261" s="80"/>
      <c r="AE261" s="80"/>
      <c r="AF261" s="80"/>
      <c r="AG261" s="80"/>
      <c r="AH261" s="80"/>
      <c r="AI261" s="80"/>
      <c r="AJ261" s="80"/>
      <c r="AK261" s="80"/>
      <c r="AL261" s="80"/>
      <c r="AM261" s="80"/>
      <c r="AN261" s="80"/>
      <c r="AO261" s="80"/>
      <c r="AP261" s="80"/>
      <c r="AQ261" s="80"/>
    </row>
    <row r="262" spans="1:43" x14ac:dyDescent="0.3">
      <c r="A262" s="102"/>
      <c r="B262" s="103"/>
      <c r="C262" s="93"/>
      <c r="D262" s="103"/>
      <c r="E262" s="93"/>
      <c r="F262" s="104"/>
      <c r="G262" s="80"/>
      <c r="H262" s="102"/>
      <c r="I262" s="80"/>
      <c r="J262" s="102"/>
      <c r="K262" s="80"/>
      <c r="L262" s="93"/>
      <c r="M262" s="104"/>
      <c r="N262" s="80"/>
      <c r="O262" s="91">
        <v>61.922000000000025</v>
      </c>
      <c r="P262" s="92">
        <v>535</v>
      </c>
      <c r="Q262" s="103">
        <v>362</v>
      </c>
      <c r="R262" s="93">
        <v>323</v>
      </c>
      <c r="S262" s="92" t="e">
        <f t="shared" si="48"/>
        <v>#DIV/0!</v>
      </c>
      <c r="T262" s="104">
        <f t="shared" si="49"/>
        <v>0.47790055248618785</v>
      </c>
      <c r="U262" s="103">
        <v>61.922000000000025</v>
      </c>
      <c r="V262" s="92">
        <v>535</v>
      </c>
      <c r="W262" s="92">
        <v>362</v>
      </c>
      <c r="X262" s="93">
        <v>323</v>
      </c>
      <c r="Y262" s="92">
        <v>1.8010471204188481</v>
      </c>
      <c r="Z262" s="80">
        <v>0.47790055248618785</v>
      </c>
      <c r="AA262" s="105">
        <f t="shared" si="58"/>
        <v>0.65634674922600622</v>
      </c>
      <c r="AB262" s="80"/>
      <c r="AC262" s="80"/>
      <c r="AD262" s="80"/>
      <c r="AE262" s="80"/>
      <c r="AF262" s="80"/>
      <c r="AG262" s="80"/>
      <c r="AH262" s="80"/>
      <c r="AI262" s="80"/>
      <c r="AJ262" s="80"/>
      <c r="AK262" s="80"/>
      <c r="AL262" s="80"/>
      <c r="AM262" s="80"/>
      <c r="AN262" s="80"/>
      <c r="AO262" s="80"/>
      <c r="AP262" s="80"/>
      <c r="AQ262" s="80"/>
    </row>
    <row r="263" spans="1:43" x14ac:dyDescent="0.3">
      <c r="A263" s="102"/>
      <c r="B263" s="103"/>
      <c r="C263" s="93"/>
      <c r="D263" s="103"/>
      <c r="E263" s="93"/>
      <c r="F263" s="104"/>
      <c r="G263" s="80"/>
      <c r="H263" s="102"/>
      <c r="I263" s="80"/>
      <c r="J263" s="102"/>
      <c r="K263" s="80"/>
      <c r="L263" s="93"/>
      <c r="M263" s="104"/>
      <c r="N263" s="80"/>
      <c r="O263" s="91">
        <v>72.452999999999975</v>
      </c>
      <c r="P263" s="92">
        <v>522</v>
      </c>
      <c r="Q263" s="103">
        <v>366</v>
      </c>
      <c r="R263" s="93">
        <v>322</v>
      </c>
      <c r="S263" s="92" t="e">
        <f t="shared" si="48"/>
        <v>#DIV/0!</v>
      </c>
      <c r="T263" s="104">
        <f t="shared" si="49"/>
        <v>0.42622950819672129</v>
      </c>
      <c r="U263" s="103">
        <v>72.452999999999975</v>
      </c>
      <c r="V263" s="92">
        <v>522</v>
      </c>
      <c r="W263" s="92">
        <v>366</v>
      </c>
      <c r="X263" s="93">
        <v>322</v>
      </c>
      <c r="Y263" s="92">
        <v>2.3896103896103895</v>
      </c>
      <c r="Z263" s="80">
        <v>0.42622950819672129</v>
      </c>
      <c r="AA263" s="105">
        <f t="shared" si="58"/>
        <v>0.6211180124223602</v>
      </c>
      <c r="AB263" s="80"/>
      <c r="AC263" s="80"/>
      <c r="AD263" s="80"/>
      <c r="AE263" s="80"/>
      <c r="AF263" s="80"/>
      <c r="AG263" s="80"/>
      <c r="AH263" s="80"/>
      <c r="AI263" s="80"/>
      <c r="AJ263" s="80"/>
      <c r="AK263" s="80"/>
      <c r="AL263" s="80"/>
      <c r="AM263" s="80"/>
      <c r="AN263" s="80"/>
      <c r="AO263" s="80"/>
      <c r="AP263" s="80"/>
      <c r="AQ263" s="80"/>
    </row>
    <row r="264" spans="1:43" x14ac:dyDescent="0.3">
      <c r="A264" s="102"/>
      <c r="B264" s="103"/>
      <c r="C264" s="93"/>
      <c r="D264" s="103"/>
      <c r="E264" s="93"/>
      <c r="F264" s="104"/>
      <c r="G264" s="80"/>
      <c r="H264" s="102"/>
      <c r="I264" s="80"/>
      <c r="J264" s="102"/>
      <c r="K264" s="80"/>
      <c r="L264" s="93"/>
      <c r="M264" s="104"/>
      <c r="N264" s="80"/>
      <c r="O264" s="91">
        <v>73.719000000000051</v>
      </c>
      <c r="P264" s="92">
        <v>587</v>
      </c>
      <c r="Q264" s="103">
        <v>386</v>
      </c>
      <c r="R264" s="93">
        <v>357</v>
      </c>
      <c r="S264" s="92" t="e">
        <f t="shared" si="48"/>
        <v>#DIV/0!</v>
      </c>
      <c r="T264" s="104">
        <f t="shared" si="49"/>
        <v>0.52072538860103623</v>
      </c>
      <c r="U264" s="103">
        <v>73.719000000000051</v>
      </c>
      <c r="V264" s="92">
        <v>587</v>
      </c>
      <c r="W264" s="92">
        <v>386</v>
      </c>
      <c r="X264" s="93">
        <v>357</v>
      </c>
      <c r="Y264" s="92">
        <v>2.473372781065089</v>
      </c>
      <c r="Z264" s="80">
        <v>0.52072538860103623</v>
      </c>
      <c r="AA264" s="105">
        <f t="shared" si="58"/>
        <v>0.64425770308123254</v>
      </c>
      <c r="AB264" s="80"/>
      <c r="AC264" s="80"/>
      <c r="AD264" s="80"/>
      <c r="AE264" s="80"/>
      <c r="AF264" s="80"/>
      <c r="AG264" s="80"/>
      <c r="AH264" s="80"/>
      <c r="AI264" s="80"/>
      <c r="AJ264" s="80"/>
      <c r="AK264" s="80"/>
      <c r="AL264" s="80"/>
      <c r="AM264" s="80"/>
      <c r="AN264" s="80"/>
      <c r="AO264" s="80"/>
      <c r="AP264" s="80"/>
      <c r="AQ264" s="80"/>
    </row>
    <row r="265" spans="1:43" x14ac:dyDescent="0.3">
      <c r="A265" s="102"/>
      <c r="B265" s="103"/>
      <c r="C265" s="93"/>
      <c r="D265" s="103"/>
      <c r="E265" s="93"/>
      <c r="F265" s="104"/>
      <c r="G265" s="80"/>
      <c r="H265" s="102"/>
      <c r="I265" s="80"/>
      <c r="J265" s="102"/>
      <c r="K265" s="80"/>
      <c r="L265" s="93"/>
      <c r="M265" s="104"/>
      <c r="N265" s="80"/>
      <c r="O265" s="91">
        <v>71.625</v>
      </c>
      <c r="P265" s="92">
        <v>599</v>
      </c>
      <c r="Q265" s="103">
        <v>451</v>
      </c>
      <c r="R265" s="93">
        <v>360</v>
      </c>
      <c r="S265" s="92" t="e">
        <f t="shared" si="48"/>
        <v>#DIV/0!</v>
      </c>
      <c r="T265" s="104">
        <f t="shared" si="49"/>
        <v>0.32815964523281599</v>
      </c>
      <c r="U265" s="103">
        <v>71.625</v>
      </c>
      <c r="V265" s="92">
        <v>599</v>
      </c>
      <c r="W265" s="92">
        <v>451</v>
      </c>
      <c r="X265" s="93">
        <v>360</v>
      </c>
      <c r="Y265" s="92">
        <v>2.422857142857143</v>
      </c>
      <c r="Z265" s="80">
        <v>0.32815964523281599</v>
      </c>
      <c r="AA265" s="105">
        <f t="shared" si="58"/>
        <v>0.66388888888888886</v>
      </c>
      <c r="AB265" s="80"/>
      <c r="AC265" s="80"/>
      <c r="AD265" s="80"/>
      <c r="AE265" s="80"/>
      <c r="AF265" s="80"/>
      <c r="AG265" s="80"/>
      <c r="AH265" s="80"/>
      <c r="AI265" s="80"/>
      <c r="AJ265" s="80"/>
      <c r="AK265" s="80"/>
      <c r="AL265" s="80"/>
      <c r="AM265" s="80"/>
      <c r="AN265" s="80"/>
      <c r="AO265" s="80"/>
      <c r="AP265" s="80"/>
      <c r="AQ265" s="80"/>
    </row>
    <row r="266" spans="1:43" x14ac:dyDescent="0.3">
      <c r="A266" s="102"/>
      <c r="B266" s="103"/>
      <c r="C266" s="93"/>
      <c r="D266" s="103"/>
      <c r="E266" s="93"/>
      <c r="F266" s="104"/>
      <c r="G266" s="80"/>
      <c r="H266" s="102"/>
      <c r="I266" s="80"/>
      <c r="J266" s="102"/>
      <c r="K266" s="80"/>
      <c r="L266" s="93"/>
      <c r="M266" s="104"/>
      <c r="N266" s="80"/>
      <c r="O266" s="91">
        <v>72.592999999999847</v>
      </c>
      <c r="P266" s="92">
        <v>548</v>
      </c>
      <c r="Q266" s="103">
        <v>363</v>
      </c>
      <c r="R266" s="93">
        <v>346</v>
      </c>
      <c r="S266" s="92" t="e">
        <f t="shared" si="48"/>
        <v>#DIV/0!</v>
      </c>
      <c r="T266" s="104">
        <f t="shared" si="49"/>
        <v>0.50964187327823696</v>
      </c>
      <c r="U266" s="103">
        <v>72.592999999999847</v>
      </c>
      <c r="V266" s="92">
        <v>548</v>
      </c>
      <c r="W266" s="92">
        <v>363</v>
      </c>
      <c r="X266" s="93">
        <v>346</v>
      </c>
      <c r="Y266" s="92">
        <v>1.7959183673469388</v>
      </c>
      <c r="Z266" s="80">
        <v>0.50964187327823696</v>
      </c>
      <c r="AA266" s="105">
        <f>(V266-X266)/X266</f>
        <v>0.58381502890173409</v>
      </c>
      <c r="AB266" s="80"/>
      <c r="AC266" s="80"/>
      <c r="AD266" s="80"/>
      <c r="AE266" s="80"/>
      <c r="AF266" s="80"/>
      <c r="AG266" s="80"/>
      <c r="AH266" s="80"/>
      <c r="AI266" s="80"/>
      <c r="AJ266" s="80"/>
      <c r="AK266" s="80"/>
      <c r="AL266" s="80"/>
      <c r="AM266" s="80"/>
      <c r="AN266" s="80"/>
      <c r="AO266" s="80"/>
      <c r="AP266" s="80"/>
      <c r="AQ266" s="80"/>
    </row>
    <row r="267" spans="1:43" x14ac:dyDescent="0.3">
      <c r="A267" s="102"/>
      <c r="B267" s="103"/>
      <c r="C267" s="93"/>
      <c r="D267" s="103"/>
      <c r="E267" s="93"/>
      <c r="F267" s="104"/>
      <c r="G267" s="80"/>
      <c r="H267" s="102"/>
      <c r="I267" s="80"/>
      <c r="J267" s="102"/>
      <c r="K267" s="80"/>
      <c r="L267" s="93"/>
      <c r="M267" s="104"/>
      <c r="N267" s="80"/>
      <c r="O267" s="91">
        <v>65.938000000000102</v>
      </c>
      <c r="P267" s="92">
        <v>577</v>
      </c>
      <c r="Q267" s="103">
        <v>349</v>
      </c>
      <c r="R267" s="93">
        <v>329</v>
      </c>
      <c r="S267" s="92" t="e">
        <f t="shared" si="48"/>
        <v>#DIV/0!</v>
      </c>
      <c r="T267" s="104">
        <f t="shared" si="49"/>
        <v>0.65329512893982811</v>
      </c>
      <c r="U267" s="103">
        <v>65.938000000000102</v>
      </c>
      <c r="V267" s="92">
        <v>577</v>
      </c>
      <c r="W267" s="92">
        <v>349</v>
      </c>
      <c r="X267" s="93">
        <v>329</v>
      </c>
      <c r="Y267" s="92">
        <v>2.8724832214765099</v>
      </c>
      <c r="Z267" s="80">
        <v>0.65329512893982811</v>
      </c>
      <c r="AA267" s="105">
        <f>(V267-X267)/X267</f>
        <v>0.75379939209726443</v>
      </c>
      <c r="AB267" s="80"/>
      <c r="AC267" s="80"/>
      <c r="AD267" s="80"/>
      <c r="AE267" s="80"/>
      <c r="AF267" s="80"/>
      <c r="AG267" s="80"/>
      <c r="AH267" s="80"/>
      <c r="AI267" s="80"/>
      <c r="AJ267" s="80"/>
      <c r="AK267" s="80"/>
      <c r="AL267" s="80"/>
      <c r="AM267" s="80"/>
      <c r="AN267" s="80"/>
      <c r="AO267" s="80"/>
      <c r="AP267" s="80"/>
      <c r="AQ267" s="80"/>
    </row>
    <row r="268" spans="1:43" ht="15" thickBot="1" x14ac:dyDescent="0.35">
      <c r="A268" s="106"/>
      <c r="B268" s="109"/>
      <c r="C268" s="110"/>
      <c r="D268" s="109"/>
      <c r="E268" s="110"/>
      <c r="F268" s="108"/>
      <c r="G268" s="111"/>
      <c r="H268" s="106"/>
      <c r="I268" s="107"/>
      <c r="J268" s="106"/>
      <c r="K268" s="107"/>
      <c r="L268" s="110"/>
      <c r="M268" s="108"/>
      <c r="N268" s="111"/>
      <c r="O268" s="112">
        <v>95.030999999999949</v>
      </c>
      <c r="P268" s="113">
        <v>552</v>
      </c>
      <c r="Q268" s="109">
        <v>355</v>
      </c>
      <c r="R268" s="110">
        <v>313</v>
      </c>
      <c r="S268" s="113" t="e">
        <f t="shared" si="48"/>
        <v>#DIV/0!</v>
      </c>
      <c r="T268" s="108">
        <f t="shared" si="49"/>
        <v>0.55492957746478877</v>
      </c>
      <c r="U268" s="109">
        <v>95.030999999999949</v>
      </c>
      <c r="V268" s="113">
        <v>552</v>
      </c>
      <c r="W268" s="113">
        <v>355</v>
      </c>
      <c r="X268" s="110">
        <v>313</v>
      </c>
      <c r="Y268" s="113">
        <v>2.4500000000000002</v>
      </c>
      <c r="Z268" s="107">
        <v>0.55492957746478877</v>
      </c>
      <c r="AA268" s="114">
        <f>(V268-X268)/X268</f>
        <v>0.76357827476038342</v>
      </c>
      <c r="AB268" s="80"/>
      <c r="AC268" s="80"/>
      <c r="AD268" s="80"/>
      <c r="AE268" s="80"/>
      <c r="AF268" s="80"/>
      <c r="AG268" s="80"/>
      <c r="AH268" s="80"/>
      <c r="AI268" s="80"/>
      <c r="AJ268" s="80"/>
      <c r="AK268" s="80"/>
      <c r="AL268" s="80"/>
      <c r="AM268" s="80"/>
      <c r="AN268" s="80"/>
      <c r="AO268" s="80"/>
      <c r="AP268" s="80"/>
      <c r="AQ268" s="80"/>
    </row>
    <row r="269" spans="1:43" x14ac:dyDescent="0.3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  <c r="AL269" s="80"/>
      <c r="AM269" s="80"/>
      <c r="AN269" s="80"/>
      <c r="AO269" s="80"/>
      <c r="AP269" s="80"/>
      <c r="AQ269" s="80"/>
    </row>
    <row r="270" spans="1:43" x14ac:dyDescent="0.3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  <c r="AH270" s="80"/>
      <c r="AI270" s="80"/>
      <c r="AJ270" s="80"/>
      <c r="AK270" s="80"/>
      <c r="AL270" s="80"/>
      <c r="AM270" s="80"/>
      <c r="AN270" s="80"/>
      <c r="AO270" s="80"/>
      <c r="AP270" s="80"/>
      <c r="AQ270" s="80"/>
    </row>
    <row r="271" spans="1:43" x14ac:dyDescent="0.3">
      <c r="A271" s="80">
        <f>AVERAGE(A239:A268)</f>
        <v>415.4</v>
      </c>
      <c r="B271" s="80"/>
      <c r="C271" s="80"/>
      <c r="D271" s="80" t="e">
        <f>AVERAGE(D239:D268)</f>
        <v>#DIV/0!</v>
      </c>
      <c r="E271" s="80" t="s">
        <v>17</v>
      </c>
      <c r="F271" s="80"/>
      <c r="G271" s="80"/>
      <c r="H271" s="80" t="e">
        <f>AVERAGE(H239:H268)</f>
        <v>#DIV/0!</v>
      </c>
      <c r="I271" s="80"/>
      <c r="J271" s="80" t="e">
        <f>AVERAGE(J239:J268)</f>
        <v>#DIV/0!</v>
      </c>
      <c r="K271" s="80" t="s">
        <v>17</v>
      </c>
      <c r="L271" s="80"/>
      <c r="M271" s="80"/>
      <c r="N271" s="80"/>
      <c r="O271" s="80">
        <f>AVERAGE(O239:O268)</f>
        <v>71.248433333333338</v>
      </c>
      <c r="P271" s="80"/>
      <c r="Q271" s="80"/>
      <c r="R271" s="80"/>
      <c r="S271" s="80"/>
      <c r="T271" s="80"/>
      <c r="U271" s="80">
        <f>AVERAGE(U239:U268)</f>
        <v>71.248433333333338</v>
      </c>
      <c r="V271" s="80" t="s">
        <v>17</v>
      </c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  <c r="AH271" s="80"/>
      <c r="AI271" s="80"/>
      <c r="AJ271" s="80"/>
      <c r="AK271" s="80"/>
      <c r="AL271" s="80"/>
      <c r="AM271" s="80"/>
      <c r="AN271" s="80"/>
      <c r="AO271" s="80"/>
      <c r="AP271" s="80"/>
      <c r="AQ271" s="80"/>
    </row>
    <row r="272" spans="1:43" x14ac:dyDescent="0.3">
      <c r="A272" s="80"/>
      <c r="B272" s="80"/>
      <c r="C272" s="80"/>
      <c r="D272" s="80" t="e">
        <f>_xlfn.STDEV.S(D239:D268)</f>
        <v>#DIV/0!</v>
      </c>
      <c r="E272" s="79" t="e">
        <f>D272/D271</f>
        <v>#DIV/0!</v>
      </c>
      <c r="F272" s="80"/>
      <c r="G272" s="80"/>
      <c r="H272" s="80"/>
      <c r="I272" s="80"/>
      <c r="J272" s="80" t="e">
        <f>_xlfn.STDEV.S(J239:J268)</f>
        <v>#DIV/0!</v>
      </c>
      <c r="K272" s="79" t="e">
        <f>J272/J271</f>
        <v>#DIV/0!</v>
      </c>
      <c r="L272" s="80"/>
      <c r="M272" s="80"/>
      <c r="N272" s="80"/>
      <c r="O272" s="80"/>
      <c r="P272" s="80"/>
      <c r="Q272" s="80"/>
      <c r="R272" s="80"/>
      <c r="S272" s="80"/>
      <c r="T272" s="80"/>
      <c r="U272" s="80">
        <f>_xlfn.STDEV.S(U239:U268)</f>
        <v>7.6839973867922664</v>
      </c>
      <c r="V272" s="79">
        <f>U272/U271</f>
        <v>0.10784794875198096</v>
      </c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  <c r="AH272" s="80"/>
      <c r="AI272" s="80"/>
      <c r="AJ272" s="80"/>
      <c r="AK272" s="80"/>
      <c r="AL272" s="80"/>
      <c r="AM272" s="80"/>
      <c r="AN272" s="80"/>
      <c r="AO272" s="80"/>
      <c r="AP272" s="80"/>
      <c r="AQ272" s="80"/>
    </row>
    <row r="273" spans="1:43" x14ac:dyDescent="0.3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  <c r="AH273" s="80"/>
      <c r="AI273" s="80"/>
      <c r="AJ273" s="80"/>
      <c r="AK273" s="80"/>
      <c r="AL273" s="80"/>
      <c r="AM273" s="80"/>
      <c r="AN273" s="80"/>
      <c r="AO273" s="80"/>
      <c r="AP273" s="80"/>
      <c r="AQ273" s="80"/>
    </row>
  </sheetData>
  <mergeCells count="15">
    <mergeCell ref="A237:F237"/>
    <mergeCell ref="H237:M237"/>
    <mergeCell ref="AK36:AQ37"/>
    <mergeCell ref="A115:F115"/>
    <mergeCell ref="H115:M115"/>
    <mergeCell ref="A178:F178"/>
    <mergeCell ref="H178:M178"/>
    <mergeCell ref="AE92:AI92"/>
    <mergeCell ref="AE93:AI93"/>
    <mergeCell ref="A2:F2"/>
    <mergeCell ref="H2:M2"/>
    <mergeCell ref="A58:F58"/>
    <mergeCell ref="H58:M58"/>
    <mergeCell ref="AE37:AI37"/>
    <mergeCell ref="AE36:AI36"/>
  </mergeCells>
  <conditionalFormatting sqref="B60:B89">
    <cfRule type="cellIs" dxfId="10" priority="5" operator="equal">
      <formula>"2$B$4:$B$33"</formula>
    </cfRule>
  </conditionalFormatting>
  <conditionalFormatting sqref="I4:I33">
    <cfRule type="cellIs" dxfId="9" priority="11" operator="equal">
      <formula>"2$B$4:$B$33"</formula>
    </cfRule>
  </conditionalFormatting>
  <conditionalFormatting sqref="I60:I89">
    <cfRule type="cellIs" dxfId="8" priority="9" operator="equal">
      <formula>"2$B$4:$B$33"</formula>
    </cfRule>
  </conditionalFormatting>
  <conditionalFormatting sqref="I117:I146">
    <cfRule type="cellIs" dxfId="7" priority="7" operator="equal">
      <formula>"2$B$4:$B$33"</formula>
    </cfRule>
  </conditionalFormatting>
  <conditionalFormatting sqref="I180:I209">
    <cfRule type="cellIs" dxfId="6" priority="4" operator="equal">
      <formula>"2$B$4:$B$33"</formula>
    </cfRule>
  </conditionalFormatting>
  <conditionalFormatting sqref="I239:I268">
    <cfRule type="cellIs" dxfId="5" priority="2" operator="equal">
      <formula>"2$B$4:$B$33"</formula>
    </cfRule>
  </conditionalFormatting>
  <conditionalFormatting sqref="K4:K33">
    <cfRule type="cellIs" dxfId="4" priority="10" operator="equal">
      <formula>"2$B$4:$B$33"</formula>
    </cfRule>
  </conditionalFormatting>
  <conditionalFormatting sqref="K60:K89">
    <cfRule type="cellIs" dxfId="3" priority="8" operator="equal">
      <formula>"2$B$4:$B$33"</formula>
    </cfRule>
  </conditionalFormatting>
  <conditionalFormatting sqref="K117:K146">
    <cfRule type="cellIs" dxfId="2" priority="6" operator="equal">
      <formula>"2$B$4:$B$33"</formula>
    </cfRule>
  </conditionalFormatting>
  <conditionalFormatting sqref="K180:K209">
    <cfRule type="cellIs" dxfId="1" priority="3" operator="equal">
      <formula>"2$B$4:$B$33"</formula>
    </cfRule>
  </conditionalFormatting>
  <conditionalFormatting sqref="K239:K268">
    <cfRule type="cellIs" dxfId="0" priority="1" operator="equal">
      <formula>"2$B$4:$B$33"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Risultati buoni</vt:lpstr>
      <vt:lpstr>confronta_quadrate</vt:lpstr>
      <vt:lpstr>Valutazione ottimi</vt:lpstr>
      <vt:lpstr>30&lt;=p_ij &lt;= 90</vt:lpstr>
      <vt:lpstr>Non_guardare_perche_errato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Brauzi</dc:creator>
  <cp:lastModifiedBy>davide brauzi</cp:lastModifiedBy>
  <dcterms:created xsi:type="dcterms:W3CDTF">2025-04-18T10:26:25Z</dcterms:created>
  <dcterms:modified xsi:type="dcterms:W3CDTF">2025-05-25T21:23:41Z</dcterms:modified>
</cp:coreProperties>
</file>